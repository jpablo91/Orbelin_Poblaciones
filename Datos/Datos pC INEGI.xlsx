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ila/Documents/Colaboraciones/Artículo de Sobrepoblación Canina/"/>
    </mc:Choice>
  </mc:AlternateContent>
  <xr:revisionPtr revIDLastSave="0" documentId="13_ncr:1_{2B7B8FB0-612C-8640-B147-BE2E26CB8958}" xr6:coauthVersionLast="46" xr6:coauthVersionMax="46" xr10:uidLastSave="{00000000-0000-0000-0000-000000000000}"/>
  <bookViews>
    <workbookView xWindow="0" yWindow="460" windowWidth="25600" windowHeight="15540" xr2:uid="{5B199FEB-4F0F-BB41-B662-B0B97453BE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9" i="1" l="1"/>
  <c r="AG6" i="1" l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Y36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5" i="1"/>
  <c r="AI5" i="1"/>
  <c r="AJ5" i="1"/>
  <c r="AK5" i="1"/>
  <c r="AL5" i="1"/>
  <c r="AM5" i="1"/>
  <c r="AI6" i="1"/>
  <c r="AJ6" i="1"/>
  <c r="AK6" i="1"/>
  <c r="AL6" i="1"/>
  <c r="AM6" i="1"/>
  <c r="AI7" i="1"/>
  <c r="AJ7" i="1"/>
  <c r="AK7" i="1"/>
  <c r="AL7" i="1"/>
  <c r="AM7" i="1"/>
  <c r="AI8" i="1"/>
  <c r="AJ8" i="1"/>
  <c r="AK8" i="1"/>
  <c r="AL8" i="1"/>
  <c r="AM8" i="1"/>
  <c r="AI9" i="1"/>
  <c r="AJ9" i="1"/>
  <c r="AK9" i="1"/>
  <c r="AL9" i="1"/>
  <c r="AM9" i="1"/>
  <c r="AI10" i="1"/>
  <c r="AJ10" i="1"/>
  <c r="AK10" i="1"/>
  <c r="AL10" i="1"/>
  <c r="AM10" i="1"/>
  <c r="AI11" i="1"/>
  <c r="AJ11" i="1"/>
  <c r="AK11" i="1"/>
  <c r="AL11" i="1"/>
  <c r="AM11" i="1"/>
  <c r="AI12" i="1"/>
  <c r="AJ12" i="1"/>
  <c r="AK12" i="1"/>
  <c r="AL12" i="1"/>
  <c r="AM12" i="1"/>
  <c r="AI13" i="1"/>
  <c r="AJ13" i="1"/>
  <c r="AK13" i="1"/>
  <c r="AL13" i="1"/>
  <c r="AM13" i="1"/>
  <c r="AI14" i="1"/>
  <c r="AJ14" i="1"/>
  <c r="AK14" i="1"/>
  <c r="AL14" i="1"/>
  <c r="AM14" i="1"/>
  <c r="AI15" i="1"/>
  <c r="AJ15" i="1"/>
  <c r="AK15" i="1"/>
  <c r="AL15" i="1"/>
  <c r="AM15" i="1"/>
  <c r="AI16" i="1"/>
  <c r="AJ16" i="1"/>
  <c r="AK16" i="1"/>
  <c r="AL16" i="1"/>
  <c r="AM16" i="1"/>
  <c r="AI17" i="1"/>
  <c r="AJ17" i="1"/>
  <c r="AK17" i="1"/>
  <c r="AL17" i="1"/>
  <c r="AM17" i="1"/>
  <c r="AI18" i="1"/>
  <c r="AJ18" i="1"/>
  <c r="AK18" i="1"/>
  <c r="AL18" i="1"/>
  <c r="AM18" i="1"/>
  <c r="AI19" i="1"/>
  <c r="AJ19" i="1"/>
  <c r="AK19" i="1"/>
  <c r="AL19" i="1"/>
  <c r="AM19" i="1"/>
  <c r="AI20" i="1"/>
  <c r="AJ20" i="1"/>
  <c r="AK20" i="1"/>
  <c r="AL20" i="1"/>
  <c r="AM20" i="1"/>
  <c r="AI21" i="1"/>
  <c r="AJ21" i="1"/>
  <c r="AK21" i="1"/>
  <c r="AL21" i="1"/>
  <c r="AM21" i="1"/>
  <c r="AI22" i="1"/>
  <c r="AJ22" i="1"/>
  <c r="AK22" i="1"/>
  <c r="AL22" i="1"/>
  <c r="AM22" i="1"/>
  <c r="AI23" i="1"/>
  <c r="AJ23" i="1"/>
  <c r="AK23" i="1"/>
  <c r="AL23" i="1"/>
  <c r="AM23" i="1"/>
  <c r="AI24" i="1"/>
  <c r="AJ24" i="1"/>
  <c r="AK24" i="1"/>
  <c r="AL24" i="1"/>
  <c r="AM24" i="1"/>
  <c r="AI25" i="1"/>
  <c r="AJ25" i="1"/>
  <c r="AK25" i="1"/>
  <c r="AL25" i="1"/>
  <c r="AM25" i="1"/>
  <c r="AI26" i="1"/>
  <c r="AJ26" i="1"/>
  <c r="AK26" i="1"/>
  <c r="AL26" i="1"/>
  <c r="AM26" i="1"/>
  <c r="AI27" i="1"/>
  <c r="AJ27" i="1"/>
  <c r="AK27" i="1"/>
  <c r="AL27" i="1"/>
  <c r="AM27" i="1"/>
  <c r="AI28" i="1"/>
  <c r="AJ28" i="1"/>
  <c r="AK28" i="1"/>
  <c r="AL28" i="1"/>
  <c r="AM28" i="1"/>
  <c r="AI29" i="1"/>
  <c r="AJ29" i="1"/>
  <c r="AK29" i="1"/>
  <c r="AL29" i="1"/>
  <c r="AM29" i="1"/>
  <c r="AI30" i="1"/>
  <c r="AJ30" i="1"/>
  <c r="AK30" i="1"/>
  <c r="AL30" i="1"/>
  <c r="AM30" i="1"/>
  <c r="AI31" i="1"/>
  <c r="AJ31" i="1"/>
  <c r="AK31" i="1"/>
  <c r="AL31" i="1"/>
  <c r="AM31" i="1"/>
  <c r="AI32" i="1"/>
  <c r="AJ32" i="1"/>
  <c r="AK32" i="1"/>
  <c r="AL32" i="1"/>
  <c r="AM32" i="1"/>
  <c r="AI33" i="1"/>
  <c r="AJ33" i="1"/>
  <c r="AK33" i="1"/>
  <c r="AL33" i="1"/>
  <c r="AM33" i="1"/>
  <c r="AI34" i="1"/>
  <c r="AJ34" i="1"/>
  <c r="AK34" i="1"/>
  <c r="AL34" i="1"/>
  <c r="AM34" i="1"/>
  <c r="AI35" i="1"/>
  <c r="AJ35" i="1"/>
  <c r="AK35" i="1"/>
  <c r="AL35" i="1"/>
  <c r="AM35" i="1"/>
  <c r="AI36" i="1"/>
  <c r="AJ36" i="1"/>
  <c r="AK36" i="1"/>
  <c r="AL36" i="1"/>
  <c r="AM36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5" i="1"/>
  <c r="AE36" i="1"/>
  <c r="AD5" i="1"/>
  <c r="AE5" i="1"/>
  <c r="AD6" i="1"/>
  <c r="AE6" i="1"/>
  <c r="AD7" i="1"/>
  <c r="AE7" i="1"/>
  <c r="AD8" i="1"/>
  <c r="AE8" i="1"/>
  <c r="AD9" i="1"/>
  <c r="AE9" i="1"/>
  <c r="AD10" i="1"/>
  <c r="AE10" i="1"/>
  <c r="AD11" i="1"/>
  <c r="AE11" i="1"/>
  <c r="AD12" i="1"/>
  <c r="AE12" i="1"/>
  <c r="AD13" i="1"/>
  <c r="AE13" i="1"/>
  <c r="AD14" i="1"/>
  <c r="AE14" i="1"/>
  <c r="AD15" i="1"/>
  <c r="AE15" i="1"/>
  <c r="AD16" i="1"/>
  <c r="AE16" i="1"/>
  <c r="AD17" i="1"/>
  <c r="AE17" i="1"/>
  <c r="AD18" i="1"/>
  <c r="AE18" i="1"/>
  <c r="AD19" i="1"/>
  <c r="AE19" i="1"/>
  <c r="AD20" i="1"/>
  <c r="AE20" i="1"/>
  <c r="AD21" i="1"/>
  <c r="AE21" i="1"/>
  <c r="AD22" i="1"/>
  <c r="AE22" i="1"/>
  <c r="AD23" i="1"/>
  <c r="AE23" i="1"/>
  <c r="AD24" i="1"/>
  <c r="AE24" i="1"/>
  <c r="AD25" i="1"/>
  <c r="AE25" i="1"/>
  <c r="AD26" i="1"/>
  <c r="AE26" i="1"/>
  <c r="AD27" i="1"/>
  <c r="AE27" i="1"/>
  <c r="AD28" i="1"/>
  <c r="AE28" i="1"/>
  <c r="AD29" i="1"/>
  <c r="AE29" i="1"/>
  <c r="AD30" i="1"/>
  <c r="AE30" i="1"/>
  <c r="AD31" i="1"/>
  <c r="AE31" i="1"/>
  <c r="AD32" i="1"/>
  <c r="AE32" i="1"/>
  <c r="AD33" i="1"/>
  <c r="AE33" i="1"/>
  <c r="AD34" i="1"/>
  <c r="AE34" i="1"/>
  <c r="AD35" i="1"/>
  <c r="AE35" i="1"/>
  <c r="AD36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5" i="1"/>
  <c r="Z5" i="1"/>
</calcChain>
</file>

<file path=xl/sharedStrings.xml><?xml version="1.0" encoding="utf-8"?>
<sst xmlns="http://schemas.openxmlformats.org/spreadsheetml/2006/main" count="44" uniqueCount="44">
  <si>
    <t>NÚMERO CONSECUTIVO</t>
  </si>
  <si>
    <t xml:space="preserve">ENTIDAD </t>
  </si>
  <si>
    <t>Adultos con perro</t>
  </si>
  <si>
    <t>Total de adultos encuestados</t>
  </si>
  <si>
    <t xml:space="preserve">Porcentaje de adultos con perro </t>
  </si>
  <si>
    <t xml:space="preserve"> Adultos con gato</t>
  </si>
  <si>
    <t>Porcentaje de adulto con gato</t>
  </si>
  <si>
    <t>AGS</t>
  </si>
  <si>
    <t>BC</t>
  </si>
  <si>
    <t>BCS</t>
  </si>
  <si>
    <t>CAMP</t>
  </si>
  <si>
    <t>CDMX</t>
  </si>
  <si>
    <t>CHIHUAHUA</t>
  </si>
  <si>
    <t>CHIAPAS</t>
  </si>
  <si>
    <t>COAH</t>
  </si>
  <si>
    <t>COL</t>
  </si>
  <si>
    <t>DGO</t>
  </si>
  <si>
    <t>EDOMEX</t>
  </si>
  <si>
    <t>GRO</t>
  </si>
  <si>
    <t>GTO</t>
  </si>
  <si>
    <t>HGO</t>
  </si>
  <si>
    <t>JAL</t>
  </si>
  <si>
    <t>MICH</t>
  </si>
  <si>
    <t>MOR</t>
  </si>
  <si>
    <t>NAY</t>
  </si>
  <si>
    <t>NL</t>
  </si>
  <si>
    <t>OAX</t>
  </si>
  <si>
    <t>PUE</t>
  </si>
  <si>
    <t>QRO</t>
  </si>
  <si>
    <t>QROO</t>
  </si>
  <si>
    <t>SIN</t>
  </si>
  <si>
    <t>SLP</t>
  </si>
  <si>
    <t>SON</t>
  </si>
  <si>
    <t>TAB</t>
  </si>
  <si>
    <t>TAMPS</t>
  </si>
  <si>
    <t>TLAX</t>
  </si>
  <si>
    <t>VER</t>
  </si>
  <si>
    <t>YUC</t>
  </si>
  <si>
    <t>ZAC</t>
  </si>
  <si>
    <t>ENCUESTA INICIAL EN EL 2014</t>
  </si>
  <si>
    <t xml:space="preserve">ADULTOS </t>
  </si>
  <si>
    <t>POBLACIÓN TOTAL</t>
  </si>
  <si>
    <t>Cantidad de perros</t>
  </si>
  <si>
    <t>Cantidad de gatos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</si>
</sst>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43" fontId="3" fillId="0" borderId="0" xfId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/>
    </xf>
    <xf numFmtId="43" fontId="4" fillId="0" borderId="0" xfId="1" applyFont="1" applyFill="1" applyBorder="1" applyAlignment="1" applyProtection="1">
      <alignment horizontal="center"/>
    </xf>
    <xf numFmtId="43" fontId="3" fillId="0" borderId="0" xfId="1" applyFont="1" applyFill="1" applyBorder="1"/>
    <xf numFmtId="43" fontId="3" fillId="0" borderId="0" xfId="0" applyNumberFormat="1" applyFont="1" applyFill="1" applyBorder="1"/>
    <xf numFmtId="0" fontId="2" fillId="2" borderId="0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875B-7D39-4147-BC1F-CA9BA5F8F568}">
  <dimension ref="A3:AM39"/>
  <sheetViews>
    <sheetView tabSelected="1" zoomScaleNormal="100" workbookViewId="0">
      <selection activeCell="D5" sqref="D5"/>
    </sheetView>
  </sheetViews>
  <sheetFormatPr baseColWidth="10" defaultRowHeight="16" x14ac:dyDescent="0.2"/>
  <cols>
    <col min="1" max="1" width="21.5" style="5" bestFit="1" customWidth="1"/>
    <col min="2" max="2" width="26.6640625" style="5" bestFit="1" customWidth="1"/>
    <col min="3" max="3" width="25.33203125" style="5" bestFit="1" customWidth="1"/>
    <col min="4" max="4" width="28.33203125" style="5" bestFit="1" customWidth="1"/>
    <col min="5" max="5" width="25.6640625" style="5" bestFit="1" customWidth="1"/>
    <col min="6" max="6" width="26.1640625" style="5" bestFit="1" customWidth="1"/>
    <col min="7" max="7" width="28.33203125" style="5" bestFit="1" customWidth="1"/>
    <col min="8" max="8" width="26.1640625" style="4" bestFit="1" customWidth="1"/>
    <col min="9" max="9" width="11.33203125" style="4" customWidth="1"/>
    <col min="10" max="10" width="15.6640625" style="4" bestFit="1" customWidth="1"/>
    <col min="11" max="11" width="14.5" style="4" bestFit="1" customWidth="1"/>
    <col min="12" max="12" width="15.83203125" style="4" bestFit="1" customWidth="1"/>
    <col min="13" max="15" width="13.33203125" style="4" bestFit="1" customWidth="1"/>
    <col min="16" max="16" width="11.1640625" style="4" bestFit="1" customWidth="1"/>
    <col min="17" max="17" width="10.83203125" style="4"/>
    <col min="18" max="23" width="11.1640625" style="4" bestFit="1" customWidth="1"/>
    <col min="24" max="24" width="11.1640625" style="4" customWidth="1"/>
    <col min="25" max="25" width="15.6640625" style="4" bestFit="1" customWidth="1"/>
    <col min="26" max="30" width="11.1640625" style="4" bestFit="1" customWidth="1"/>
    <col min="31" max="31" width="15.6640625" style="4" bestFit="1" customWidth="1"/>
    <col min="32" max="32" width="11.1640625" style="4" customWidth="1"/>
    <col min="33" max="33" width="14.5" style="4" bestFit="1" customWidth="1"/>
    <col min="34" max="38" width="13" style="4" bestFit="1" customWidth="1"/>
    <col min="39" max="39" width="14.5" style="4" bestFit="1" customWidth="1"/>
    <col min="40" max="16384" width="10.83203125" style="4"/>
  </cols>
  <sheetData>
    <row r="3" spans="1:39" x14ac:dyDescent="0.2">
      <c r="A3" s="1"/>
      <c r="B3" s="14" t="s">
        <v>39</v>
      </c>
      <c r="C3" s="14"/>
      <c r="D3" s="14"/>
      <c r="E3" s="14"/>
      <c r="F3" s="14"/>
      <c r="G3" s="14"/>
      <c r="H3" s="14"/>
      <c r="I3" s="2"/>
      <c r="J3" s="8"/>
      <c r="K3" s="14" t="s">
        <v>40</v>
      </c>
      <c r="L3" s="14"/>
      <c r="M3" s="14"/>
      <c r="N3" s="14"/>
      <c r="O3" s="14"/>
      <c r="P3" s="14"/>
      <c r="Q3" s="3"/>
      <c r="R3" s="14" t="s">
        <v>41</v>
      </c>
      <c r="S3" s="14"/>
      <c r="T3" s="14"/>
      <c r="U3" s="14"/>
      <c r="V3" s="14"/>
      <c r="W3" s="14"/>
      <c r="X3" s="2"/>
      <c r="Y3" s="14" t="s">
        <v>42</v>
      </c>
      <c r="Z3" s="14"/>
      <c r="AA3" s="14"/>
      <c r="AB3" s="14"/>
      <c r="AC3" s="14"/>
      <c r="AD3" s="14"/>
      <c r="AE3" s="14"/>
      <c r="AF3" s="2"/>
      <c r="AG3" s="14" t="s">
        <v>43</v>
      </c>
      <c r="AH3" s="14"/>
      <c r="AI3" s="14"/>
      <c r="AJ3" s="14"/>
      <c r="AK3" s="14"/>
      <c r="AL3" s="14"/>
      <c r="AM3" s="14"/>
    </row>
    <row r="4" spans="1:39" x14ac:dyDescent="0.2">
      <c r="B4" s="5" t="s">
        <v>0</v>
      </c>
      <c r="C4" s="5" t="s">
        <v>1</v>
      </c>
      <c r="D4" s="5" t="s">
        <v>3</v>
      </c>
      <c r="E4" s="5" t="s">
        <v>2</v>
      </c>
      <c r="F4" s="5" t="s">
        <v>5</v>
      </c>
      <c r="G4" s="5" t="s">
        <v>4</v>
      </c>
      <c r="H4" s="5" t="s">
        <v>6</v>
      </c>
      <c r="I4" s="5"/>
      <c r="J4" s="5">
        <v>2014</v>
      </c>
      <c r="K4" s="5">
        <v>2015</v>
      </c>
      <c r="L4" s="5">
        <v>2016</v>
      </c>
      <c r="M4" s="5">
        <v>2017</v>
      </c>
      <c r="N4" s="5">
        <v>2018</v>
      </c>
      <c r="O4" s="5">
        <v>2019</v>
      </c>
      <c r="P4" s="5">
        <v>2020</v>
      </c>
      <c r="R4" s="5">
        <v>2015</v>
      </c>
      <c r="S4" s="5">
        <v>2016</v>
      </c>
      <c r="T4" s="5">
        <v>2017</v>
      </c>
      <c r="U4" s="5">
        <v>2018</v>
      </c>
      <c r="V4" s="5">
        <v>2019</v>
      </c>
      <c r="W4" s="5">
        <v>2020</v>
      </c>
      <c r="X4" s="5"/>
      <c r="Y4" s="5">
        <v>2014</v>
      </c>
      <c r="Z4" s="5">
        <v>2015</v>
      </c>
      <c r="AA4" s="5">
        <v>2016</v>
      </c>
      <c r="AB4" s="5">
        <v>2017</v>
      </c>
      <c r="AC4" s="5">
        <v>2018</v>
      </c>
      <c r="AD4" s="5">
        <v>2019</v>
      </c>
      <c r="AE4" s="5">
        <v>2020</v>
      </c>
      <c r="AF4" s="5"/>
      <c r="AG4" s="4">
        <v>2014</v>
      </c>
      <c r="AH4" s="5">
        <v>2015</v>
      </c>
      <c r="AI4" s="5">
        <v>2016</v>
      </c>
      <c r="AJ4" s="5">
        <v>2017</v>
      </c>
      <c r="AK4" s="5">
        <v>2018</v>
      </c>
      <c r="AL4" s="5">
        <v>2019</v>
      </c>
      <c r="AM4" s="5">
        <v>2020</v>
      </c>
    </row>
    <row r="5" spans="1:39" x14ac:dyDescent="0.2">
      <c r="B5" s="5">
        <v>1</v>
      </c>
      <c r="C5" s="5" t="s">
        <v>7</v>
      </c>
      <c r="D5" s="7">
        <v>822385</v>
      </c>
      <c r="E5" s="5">
        <v>375839</v>
      </c>
      <c r="F5" s="5">
        <v>49790</v>
      </c>
      <c r="G5" s="5">
        <v>45.701101065802511</v>
      </c>
      <c r="H5" s="5">
        <v>6.0543419444663993</v>
      </c>
      <c r="I5" s="5"/>
      <c r="J5" s="9">
        <v>840328.89599999995</v>
      </c>
      <c r="K5" s="9">
        <v>859232</v>
      </c>
      <c r="L5" s="6">
        <v>878135.10400000005</v>
      </c>
      <c r="M5" s="10">
        <v>897454.0762880001</v>
      </c>
      <c r="N5" s="10">
        <v>917198.06596633617</v>
      </c>
      <c r="O5" s="11">
        <v>937376.42341759556</v>
      </c>
      <c r="P5" s="5">
        <v>957998.70473278267</v>
      </c>
      <c r="R5" s="5">
        <v>1312544</v>
      </c>
      <c r="S5" s="5">
        <v>1341419.9680000001</v>
      </c>
      <c r="T5" s="5">
        <v>1370931.2072960001</v>
      </c>
      <c r="U5" s="5">
        <v>1401091.6938565122</v>
      </c>
      <c r="V5" s="5">
        <v>1431915.7111213554</v>
      </c>
      <c r="W5" s="5">
        <v>1463417.8567660253</v>
      </c>
      <c r="X5" s="5"/>
      <c r="Y5" s="5">
        <f>$G5*J5/100</f>
        <v>384039.55804610247</v>
      </c>
      <c r="Z5" s="5">
        <f>G5*K5/100</f>
        <v>392678.48470971623</v>
      </c>
      <c r="AA5" s="5">
        <f>$G5*L5/100</f>
        <v>401317.41137332999</v>
      </c>
      <c r="AB5" s="5">
        <f>$G5*M5/100</f>
        <v>410146.3944235433</v>
      </c>
      <c r="AC5" s="5">
        <f>$G5*N5/100</f>
        <v>419169.61510086129</v>
      </c>
      <c r="AD5" s="5">
        <f t="shared" ref="AD5:AE20" si="0">$G5*O5/100</f>
        <v>428391.34663308022</v>
      </c>
      <c r="AE5" s="5">
        <f t="shared" si="0"/>
        <v>437815.95625900797</v>
      </c>
      <c r="AF5" s="5"/>
      <c r="AG5" s="7">
        <f>$H5*J5/100</f>
        <v>50876.384821999425</v>
      </c>
      <c r="AH5" s="7">
        <f>$H5*K5/100</f>
        <v>52020.843376277538</v>
      </c>
      <c r="AI5" s="7">
        <f t="shared" ref="AI5:AM20" si="1">$H5*L5/100</f>
        <v>53165.301930555637</v>
      </c>
      <c r="AJ5" s="7">
        <f t="shared" si="1"/>
        <v>54334.938573027866</v>
      </c>
      <c r="AK5" s="7">
        <f t="shared" si="1"/>
        <v>55530.307221634481</v>
      </c>
      <c r="AL5" s="7">
        <f t="shared" si="1"/>
        <v>56751.97398051044</v>
      </c>
      <c r="AM5" s="7">
        <f t="shared" si="1"/>
        <v>58000.517408081672</v>
      </c>
    </row>
    <row r="6" spans="1:39" x14ac:dyDescent="0.2">
      <c r="B6" s="5">
        <v>2</v>
      </c>
      <c r="C6" s="5" t="s">
        <v>8</v>
      </c>
      <c r="D6" s="5">
        <v>2339725</v>
      </c>
      <c r="E6" s="5">
        <v>1120504</v>
      </c>
      <c r="F6" s="5">
        <v>128994</v>
      </c>
      <c r="G6" s="5">
        <v>47.890414471786215</v>
      </c>
      <c r="H6" s="5">
        <v>5.5132120227804551</v>
      </c>
      <c r="I6" s="5"/>
      <c r="J6" s="9">
        <v>2249639.4899999998</v>
      </c>
      <c r="K6" s="9">
        <v>2279270</v>
      </c>
      <c r="L6" s="6">
        <v>2308900.5099999998</v>
      </c>
      <c r="M6" s="10">
        <v>2338916.2166299997</v>
      </c>
      <c r="N6" s="10">
        <v>2369322.1274461895</v>
      </c>
      <c r="O6" s="10">
        <v>2400123.3151029898</v>
      </c>
      <c r="P6" s="5">
        <v>2431324.9181993282</v>
      </c>
      <c r="R6" s="5">
        <v>3315766</v>
      </c>
      <c r="S6" s="5">
        <v>3358870.9579999996</v>
      </c>
      <c r="T6" s="5">
        <v>3402536.2804539995</v>
      </c>
      <c r="U6" s="5">
        <v>3446769.252099901</v>
      </c>
      <c r="V6" s="5">
        <v>3491577.2523771995</v>
      </c>
      <c r="W6" s="5">
        <v>3536967.7566581029</v>
      </c>
      <c r="X6" s="5"/>
      <c r="Y6" s="5">
        <f t="shared" ref="Y6:Y35" si="2">$G6*J6/100</f>
        <v>1077361.6758819774</v>
      </c>
      <c r="Z6" s="5">
        <f t="shared" ref="Z6:Z36" si="3">G6*K6/100</f>
        <v>1091551.8499310818</v>
      </c>
      <c r="AA6" s="5">
        <f t="shared" ref="AA6:AC36" si="4">$G6*L6/100</f>
        <v>1105742.0239801856</v>
      </c>
      <c r="AB6" s="5">
        <f t="shared" si="4"/>
        <v>1120116.6702919281</v>
      </c>
      <c r="AC6" s="5">
        <f t="shared" si="4"/>
        <v>1134678.1870057229</v>
      </c>
      <c r="AD6" s="5">
        <f t="shared" si="0"/>
        <v>1149429.0034367973</v>
      </c>
      <c r="AE6" s="5">
        <f t="shared" si="0"/>
        <v>1164371.5804814755</v>
      </c>
      <c r="AF6" s="5"/>
      <c r="AG6" s="7">
        <f t="shared" ref="AG6:AG36" si="5">$H6*J6/100</f>
        <v>124027.39483189691</v>
      </c>
      <c r="AH6" s="7">
        <f t="shared" ref="AH6:AH36" si="6">$H6*K6/100</f>
        <v>125660.98767162807</v>
      </c>
      <c r="AI6" s="7">
        <f t="shared" si="1"/>
        <v>127294.58051135924</v>
      </c>
      <c r="AJ6" s="7">
        <f t="shared" si="1"/>
        <v>128949.41005800691</v>
      </c>
      <c r="AK6" s="7">
        <f t="shared" si="1"/>
        <v>130625.75238876097</v>
      </c>
      <c r="AL6" s="7">
        <f t="shared" si="1"/>
        <v>132323.88716981484</v>
      </c>
      <c r="AM6" s="7">
        <f t="shared" si="1"/>
        <v>134044.09770302245</v>
      </c>
    </row>
    <row r="7" spans="1:39" x14ac:dyDescent="0.2">
      <c r="B7" s="5">
        <v>3</v>
      </c>
      <c r="C7" s="5" t="s">
        <v>9</v>
      </c>
      <c r="D7" s="5">
        <v>505675</v>
      </c>
      <c r="E7" s="5">
        <v>241278</v>
      </c>
      <c r="F7" s="5">
        <v>27369</v>
      </c>
      <c r="G7" s="5">
        <v>47.71404558263707</v>
      </c>
      <c r="H7" s="5">
        <v>5.4123696049834376</v>
      </c>
      <c r="I7" s="5"/>
      <c r="J7" s="9">
        <v>478735.12299999996</v>
      </c>
      <c r="K7" s="9">
        <v>491514.5</v>
      </c>
      <c r="L7" s="6">
        <v>504293.87700000004</v>
      </c>
      <c r="M7" s="10">
        <v>517405.51780200005</v>
      </c>
      <c r="N7" s="10">
        <v>530858.06126485206</v>
      </c>
      <c r="O7" s="10">
        <v>544660.37085773819</v>
      </c>
      <c r="P7" s="5">
        <v>558821.54050003935</v>
      </c>
      <c r="R7" s="5">
        <v>712029</v>
      </c>
      <c r="S7" s="5">
        <v>730541.75400000007</v>
      </c>
      <c r="T7" s="5">
        <v>749535.8396040001</v>
      </c>
      <c r="U7" s="5">
        <v>769023.77143370407</v>
      </c>
      <c r="V7" s="5">
        <v>789018.38949098042</v>
      </c>
      <c r="W7" s="5">
        <v>809532.86761774588</v>
      </c>
      <c r="X7" s="5"/>
      <c r="Y7" s="5">
        <f t="shared" si="2"/>
        <v>228423.89480831363</v>
      </c>
      <c r="Z7" s="5">
        <f t="shared" si="3"/>
        <v>234521.45257527067</v>
      </c>
      <c r="AA7" s="5">
        <f t="shared" si="4"/>
        <v>240619.01034222773</v>
      </c>
      <c r="AB7" s="5">
        <f t="shared" si="4"/>
        <v>246875.10461112566</v>
      </c>
      <c r="AC7" s="5">
        <f t="shared" si="4"/>
        <v>253293.85733101494</v>
      </c>
      <c r="AD7" s="5">
        <f t="shared" si="0"/>
        <v>259879.4976216213</v>
      </c>
      <c r="AE7" s="5">
        <f t="shared" si="0"/>
        <v>266636.36455978343</v>
      </c>
      <c r="AF7" s="5"/>
      <c r="AG7" s="7">
        <f t="shared" si="5"/>
        <v>25910.914285632072</v>
      </c>
      <c r="AH7" s="7">
        <f t="shared" si="6"/>
        <v>26602.581402086318</v>
      </c>
      <c r="AI7" s="7">
        <f t="shared" si="1"/>
        <v>27294.248518540568</v>
      </c>
      <c r="AJ7" s="7">
        <f t="shared" si="1"/>
        <v>28003.898980022619</v>
      </c>
      <c r="AK7" s="7">
        <f t="shared" si="1"/>
        <v>28732.000353503208</v>
      </c>
      <c r="AL7" s="7">
        <f t="shared" si="1"/>
        <v>29479.032362694288</v>
      </c>
      <c r="AM7" s="7">
        <f t="shared" si="1"/>
        <v>30245.48720412434</v>
      </c>
    </row>
    <row r="8" spans="1:39" x14ac:dyDescent="0.2">
      <c r="B8" s="5">
        <v>4</v>
      </c>
      <c r="C8" s="5" t="s">
        <v>10</v>
      </c>
      <c r="D8" s="5">
        <v>600735</v>
      </c>
      <c r="E8" s="5">
        <v>311916</v>
      </c>
      <c r="F8" s="5">
        <v>53699</v>
      </c>
      <c r="G8" s="5">
        <v>51.922395066044096</v>
      </c>
      <c r="H8" s="5">
        <v>8.9388832014116044</v>
      </c>
      <c r="I8" s="5"/>
      <c r="J8" s="9">
        <v>601766.55000000005</v>
      </c>
      <c r="K8" s="9">
        <v>614047.5</v>
      </c>
      <c r="L8" s="6">
        <v>626328.44999999995</v>
      </c>
      <c r="M8" s="10">
        <v>638855.01899999997</v>
      </c>
      <c r="N8" s="10">
        <v>651632.11937999993</v>
      </c>
      <c r="O8" s="10">
        <v>664664.76176759996</v>
      </c>
      <c r="P8" s="5">
        <v>677958.05700295197</v>
      </c>
      <c r="R8" s="5">
        <v>899931</v>
      </c>
      <c r="S8" s="5">
        <v>917929.62</v>
      </c>
      <c r="T8" s="5">
        <v>936288.21239999996</v>
      </c>
      <c r="U8" s="5">
        <v>955013.97664799995</v>
      </c>
      <c r="V8" s="5">
        <v>974114.25618095999</v>
      </c>
      <c r="W8" s="5">
        <v>993596.54130457924</v>
      </c>
      <c r="X8" s="5"/>
      <c r="Y8" s="5">
        <f t="shared" si="2"/>
        <v>312451.60546630376</v>
      </c>
      <c r="Z8" s="5">
        <f t="shared" si="3"/>
        <v>318828.16884316714</v>
      </c>
      <c r="AA8" s="5">
        <f t="shared" si="4"/>
        <v>325204.73222003045</v>
      </c>
      <c r="AB8" s="5">
        <f t="shared" si="4"/>
        <v>331708.82686443103</v>
      </c>
      <c r="AC8" s="5">
        <f t="shared" si="4"/>
        <v>338343.00340171962</v>
      </c>
      <c r="AD8" s="5">
        <f t="shared" si="0"/>
        <v>345109.86346975411</v>
      </c>
      <c r="AE8" s="5">
        <f t="shared" si="0"/>
        <v>352012.06073914916</v>
      </c>
      <c r="AF8" s="5"/>
      <c r="AG8" s="7">
        <f t="shared" si="5"/>
        <v>53791.209049664169</v>
      </c>
      <c r="AH8" s="7">
        <f t="shared" si="6"/>
        <v>54888.988826187924</v>
      </c>
      <c r="AI8" s="7">
        <f t="shared" si="1"/>
        <v>55986.76860271168</v>
      </c>
      <c r="AJ8" s="7">
        <f t="shared" si="1"/>
        <v>57106.50397476591</v>
      </c>
      <c r="AK8" s="7">
        <f t="shared" si="1"/>
        <v>58248.634054261223</v>
      </c>
      <c r="AL8" s="7">
        <f t="shared" si="1"/>
        <v>59413.60673534646</v>
      </c>
      <c r="AM8" s="7">
        <f t="shared" si="1"/>
        <v>60601.878870053384</v>
      </c>
    </row>
    <row r="9" spans="1:39" x14ac:dyDescent="0.2">
      <c r="B9" s="5">
        <v>5</v>
      </c>
      <c r="C9" s="5" t="s">
        <v>11</v>
      </c>
      <c r="D9" s="5">
        <v>6710885</v>
      </c>
      <c r="E9" s="5">
        <v>2076519</v>
      </c>
      <c r="F9" s="5">
        <v>331366</v>
      </c>
      <c r="G9" s="5">
        <v>30.942550796206461</v>
      </c>
      <c r="H9" s="5">
        <v>4.9377392102531932</v>
      </c>
      <c r="I9" s="5"/>
      <c r="J9" s="9">
        <v>6792986.2204999998</v>
      </c>
      <c r="K9" s="9">
        <v>6813426.5</v>
      </c>
      <c r="L9" s="6">
        <v>6833866.7794999992</v>
      </c>
      <c r="M9" s="10">
        <v>6854368.3798384983</v>
      </c>
      <c r="N9" s="10">
        <v>6874931.4849780127</v>
      </c>
      <c r="O9" s="10">
        <v>6895556.2794329459</v>
      </c>
      <c r="P9" s="5">
        <v>6916242.9482712438</v>
      </c>
      <c r="R9" s="5">
        <v>8918653</v>
      </c>
      <c r="S9" s="5">
        <v>8945408.9589999989</v>
      </c>
      <c r="T9" s="5">
        <v>8972245.1858769972</v>
      </c>
      <c r="U9" s="5">
        <v>8999161.9214346278</v>
      </c>
      <c r="V9" s="5">
        <v>9026159.4071989302</v>
      </c>
      <c r="W9" s="5">
        <v>9053237.8854205254</v>
      </c>
      <c r="X9" s="5"/>
      <c r="Y9" s="5">
        <f t="shared" si="2"/>
        <v>2101923.2118575182</v>
      </c>
      <c r="Z9" s="5">
        <f t="shared" si="3"/>
        <v>2108247.955724692</v>
      </c>
      <c r="AA9" s="5">
        <f t="shared" si="4"/>
        <v>2114572.6995918658</v>
      </c>
      <c r="AB9" s="5">
        <f t="shared" si="4"/>
        <v>2120916.4176906412</v>
      </c>
      <c r="AC9" s="5">
        <f t="shared" si="4"/>
        <v>2127279.1669437126</v>
      </c>
      <c r="AD9" s="5">
        <f t="shared" si="0"/>
        <v>2133661.0044445437</v>
      </c>
      <c r="AE9" s="5">
        <f t="shared" si="0"/>
        <v>2140061.987457877</v>
      </c>
      <c r="AF9" s="5"/>
      <c r="AG9" s="7">
        <f t="shared" si="5"/>
        <v>335419.9441567249</v>
      </c>
      <c r="AH9" s="7">
        <f t="shared" si="6"/>
        <v>336429.23185228178</v>
      </c>
      <c r="AI9" s="7">
        <f t="shared" si="1"/>
        <v>337438.51954783854</v>
      </c>
      <c r="AJ9" s="7">
        <f t="shared" si="1"/>
        <v>338450.83510648203</v>
      </c>
      <c r="AK9" s="7">
        <f t="shared" si="1"/>
        <v>339466.18761180149</v>
      </c>
      <c r="AL9" s="7">
        <f t="shared" si="1"/>
        <v>340484.58617463679</v>
      </c>
      <c r="AM9" s="7">
        <f t="shared" si="1"/>
        <v>341506.0399331607</v>
      </c>
    </row>
    <row r="10" spans="1:39" x14ac:dyDescent="0.2">
      <c r="B10" s="5">
        <v>6</v>
      </c>
      <c r="C10" s="5" t="s">
        <v>12</v>
      </c>
      <c r="D10" s="5">
        <v>2456393</v>
      </c>
      <c r="E10" s="5">
        <v>1234076</v>
      </c>
      <c r="F10" s="5">
        <v>116222</v>
      </c>
      <c r="G10" s="5">
        <v>50.239355021773797</v>
      </c>
      <c r="H10" s="5">
        <v>4.7314090212763187</v>
      </c>
      <c r="I10" s="5"/>
      <c r="J10" s="9">
        <v>2371838.5350000001</v>
      </c>
      <c r="K10" s="9">
        <v>2395796.5</v>
      </c>
      <c r="L10" s="6">
        <v>2419754.4649999999</v>
      </c>
      <c r="M10" s="10">
        <v>2443952.0096499999</v>
      </c>
      <c r="N10" s="10">
        <v>2468391.5297464998</v>
      </c>
      <c r="O10" s="10">
        <v>2493075.4450439648</v>
      </c>
      <c r="P10" s="5">
        <v>2518006.1994944043</v>
      </c>
      <c r="R10" s="5">
        <v>3556574</v>
      </c>
      <c r="S10" s="5">
        <v>3592139.74</v>
      </c>
      <c r="T10" s="5">
        <v>3628061.1374000004</v>
      </c>
      <c r="U10" s="5">
        <v>3664341.7487740004</v>
      </c>
      <c r="V10" s="5">
        <v>3700985.1662617405</v>
      </c>
      <c r="W10" s="5">
        <v>3737995.0179243581</v>
      </c>
      <c r="X10" s="5"/>
      <c r="Y10" s="5">
        <f t="shared" si="2"/>
        <v>1191596.3821418886</v>
      </c>
      <c r="Z10" s="5">
        <f t="shared" si="3"/>
        <v>1203632.7092342309</v>
      </c>
      <c r="AA10" s="5">
        <f t="shared" si="4"/>
        <v>1215669.036326573</v>
      </c>
      <c r="AB10" s="5">
        <f t="shared" si="4"/>
        <v>1227825.7266898388</v>
      </c>
      <c r="AC10" s="5">
        <f t="shared" si="4"/>
        <v>1240103.9839567372</v>
      </c>
      <c r="AD10" s="5">
        <f t="shared" si="0"/>
        <v>1252505.0237963046</v>
      </c>
      <c r="AE10" s="5">
        <f t="shared" si="0"/>
        <v>1265030.0740342676</v>
      </c>
      <c r="AF10" s="5"/>
      <c r="AG10" s="7">
        <f t="shared" si="5"/>
        <v>112221.38241509808</v>
      </c>
      <c r="AH10" s="7">
        <f t="shared" si="6"/>
        <v>113354.93173242229</v>
      </c>
      <c r="AI10" s="7">
        <f t="shared" si="1"/>
        <v>114488.48104974652</v>
      </c>
      <c r="AJ10" s="7">
        <f t="shared" si="1"/>
        <v>115633.36586024398</v>
      </c>
      <c r="AK10" s="7">
        <f t="shared" si="1"/>
        <v>116789.69951884642</v>
      </c>
      <c r="AL10" s="7">
        <f t="shared" si="1"/>
        <v>117957.59651403489</v>
      </c>
      <c r="AM10" s="7">
        <f t="shared" si="1"/>
        <v>119137.17247917522</v>
      </c>
    </row>
    <row r="11" spans="1:39" x14ac:dyDescent="0.2">
      <c r="B11" s="5">
        <v>7</v>
      </c>
      <c r="C11" s="5" t="s">
        <v>13</v>
      </c>
      <c r="D11" s="5">
        <v>3214921</v>
      </c>
      <c r="E11" s="5">
        <v>1506882</v>
      </c>
      <c r="F11" s="5">
        <v>252399</v>
      </c>
      <c r="G11" s="5">
        <v>46.871509439889813</v>
      </c>
      <c r="H11" s="5">
        <v>7.8508616541432898</v>
      </c>
      <c r="I11" s="5"/>
      <c r="J11" s="9">
        <v>3156454.3840000001</v>
      </c>
      <c r="K11" s="9">
        <v>3214312</v>
      </c>
      <c r="L11" s="6">
        <v>3272169.6159999999</v>
      </c>
      <c r="M11" s="10">
        <v>3331068.669088</v>
      </c>
      <c r="N11" s="10">
        <v>3391027.905131584</v>
      </c>
      <c r="O11" s="10">
        <v>3452066.4074239526</v>
      </c>
      <c r="P11" s="5">
        <v>3514203.6027575838</v>
      </c>
      <c r="R11" s="5">
        <v>5217908</v>
      </c>
      <c r="S11" s="5">
        <v>5311830.3440000005</v>
      </c>
      <c r="T11" s="5">
        <v>5407443.2901920006</v>
      </c>
      <c r="U11" s="5">
        <v>5504777.2694154568</v>
      </c>
      <c r="V11" s="5">
        <v>5603863.260264935</v>
      </c>
      <c r="W11" s="5">
        <v>5704732.7989497036</v>
      </c>
      <c r="X11" s="5"/>
      <c r="Y11" s="5">
        <f t="shared" si="2"/>
        <v>1479477.8145623759</v>
      </c>
      <c r="Z11" s="5">
        <f t="shared" si="3"/>
        <v>1506596.5525075111</v>
      </c>
      <c r="AA11" s="5">
        <f t="shared" si="4"/>
        <v>1533715.2904526463</v>
      </c>
      <c r="AB11" s="5">
        <f t="shared" si="4"/>
        <v>1561322.1656807938</v>
      </c>
      <c r="AC11" s="5">
        <f t="shared" si="4"/>
        <v>1589425.964663048</v>
      </c>
      <c r="AD11" s="5">
        <f t="shared" si="0"/>
        <v>1618035.6320269832</v>
      </c>
      <c r="AE11" s="5">
        <f t="shared" si="0"/>
        <v>1647160.2734034688</v>
      </c>
      <c r="AF11" s="5"/>
      <c r="AG11" s="7">
        <f t="shared" si="5"/>
        <v>247808.86686398077</v>
      </c>
      <c r="AH11" s="7">
        <f t="shared" si="6"/>
        <v>252351.18825252625</v>
      </c>
      <c r="AI11" s="7">
        <f t="shared" si="1"/>
        <v>256893.50964107175</v>
      </c>
      <c r="AJ11" s="7">
        <f t="shared" si="1"/>
        <v>261517.59281461101</v>
      </c>
      <c r="AK11" s="7">
        <f t="shared" si="1"/>
        <v>266224.90948527405</v>
      </c>
      <c r="AL11" s="7">
        <f t="shared" si="1"/>
        <v>271016.95785600896</v>
      </c>
      <c r="AM11" s="7">
        <f t="shared" si="1"/>
        <v>275895.26309741713</v>
      </c>
    </row>
    <row r="12" spans="1:39" x14ac:dyDescent="0.2">
      <c r="B12" s="5">
        <v>8</v>
      </c>
      <c r="C12" s="5" t="s">
        <v>14</v>
      </c>
      <c r="D12" s="5">
        <v>1938207</v>
      </c>
      <c r="E12" s="5">
        <v>1080223</v>
      </c>
      <c r="F12" s="5">
        <v>110349</v>
      </c>
      <c r="G12" s="5">
        <v>55.733107970407701</v>
      </c>
      <c r="H12" s="5">
        <v>5.6933547345562161</v>
      </c>
      <c r="I12" s="5"/>
      <c r="J12" s="9">
        <v>1937924.2849981172</v>
      </c>
      <c r="K12" s="9">
        <v>1969435.2489818265</v>
      </c>
      <c r="L12" s="6">
        <v>2000946.2129655357</v>
      </c>
      <c r="M12" s="10">
        <v>2032961.3523729844</v>
      </c>
      <c r="N12" s="10">
        <v>2065488.7340109523</v>
      </c>
      <c r="O12" s="10">
        <v>2098536.5537551274</v>
      </c>
      <c r="P12" s="5">
        <v>2132113.1386152096</v>
      </c>
      <c r="R12" s="5">
        <v>2954915</v>
      </c>
      <c r="S12" s="5">
        <v>3002193.64</v>
      </c>
      <c r="T12" s="5">
        <v>3050228.7382400003</v>
      </c>
      <c r="U12" s="5">
        <v>3099032.3980518403</v>
      </c>
      <c r="V12" s="5">
        <v>3148616.9164206698</v>
      </c>
      <c r="W12" s="5">
        <v>3198994.7870834004</v>
      </c>
      <c r="X12" s="5"/>
      <c r="Y12" s="5">
        <f t="shared" si="2"/>
        <v>1080065.4341427521</v>
      </c>
      <c r="Z12" s="5">
        <f t="shared" si="3"/>
        <v>1097627.4737223091</v>
      </c>
      <c r="AA12" s="5">
        <f t="shared" si="4"/>
        <v>1115189.5133018661</v>
      </c>
      <c r="AB12" s="5">
        <f t="shared" si="4"/>
        <v>1133032.545514696</v>
      </c>
      <c r="AC12" s="5">
        <f t="shared" si="4"/>
        <v>1151161.0662429312</v>
      </c>
      <c r="AD12" s="5">
        <f t="shared" si="0"/>
        <v>1169579.6433028178</v>
      </c>
      <c r="AE12" s="5">
        <f t="shared" si="0"/>
        <v>1188292.9175956631</v>
      </c>
      <c r="AF12" s="5"/>
      <c r="AG12" s="7">
        <f t="shared" si="5"/>
        <v>110332.90403205501</v>
      </c>
      <c r="AH12" s="7">
        <f t="shared" si="6"/>
        <v>112126.93499192582</v>
      </c>
      <c r="AI12" s="7">
        <f t="shared" si="1"/>
        <v>113920.96595179664</v>
      </c>
      <c r="AJ12" s="7">
        <f t="shared" si="1"/>
        <v>115743.70140702538</v>
      </c>
      <c r="AK12" s="7">
        <f t="shared" si="1"/>
        <v>117595.60062953779</v>
      </c>
      <c r="AL12" s="7">
        <f t="shared" si="1"/>
        <v>119477.13023961039</v>
      </c>
      <c r="AM12" s="7">
        <f t="shared" si="1"/>
        <v>121388.76432344418</v>
      </c>
    </row>
    <row r="13" spans="1:39" x14ac:dyDescent="0.2">
      <c r="B13" s="5">
        <v>9</v>
      </c>
      <c r="C13" s="5" t="s">
        <v>15</v>
      </c>
      <c r="D13" s="5">
        <v>486847</v>
      </c>
      <c r="E13" s="5">
        <v>221572</v>
      </c>
      <c r="F13" s="5">
        <v>46367</v>
      </c>
      <c r="G13" s="5">
        <v>45.511628910109337</v>
      </c>
      <c r="H13" s="5">
        <v>9.5239366782582611</v>
      </c>
      <c r="I13" s="5"/>
      <c r="J13" s="9">
        <v>482646.08</v>
      </c>
      <c r="K13" s="9">
        <v>492496</v>
      </c>
      <c r="L13" s="6">
        <v>502345.92</v>
      </c>
      <c r="M13" s="10">
        <v>512392.83840000001</v>
      </c>
      <c r="N13" s="10">
        <v>522640.69516800001</v>
      </c>
      <c r="O13" s="10">
        <v>533093.50907135999</v>
      </c>
      <c r="P13" s="5">
        <v>543755.37925278721</v>
      </c>
      <c r="R13" s="5">
        <v>711235</v>
      </c>
      <c r="S13" s="5">
        <v>725459.70000000007</v>
      </c>
      <c r="T13" s="5">
        <v>739968.89400000009</v>
      </c>
      <c r="U13" s="5">
        <v>754768.27188000013</v>
      </c>
      <c r="V13" s="5">
        <v>769863.63731760019</v>
      </c>
      <c r="W13" s="5">
        <v>785260.91006395221</v>
      </c>
      <c r="X13" s="5"/>
      <c r="Y13" s="5">
        <f t="shared" si="2"/>
        <v>219660.09287878947</v>
      </c>
      <c r="Z13" s="5">
        <f t="shared" si="3"/>
        <v>224142.95191713207</v>
      </c>
      <c r="AA13" s="5">
        <f t="shared" si="4"/>
        <v>228625.81095547471</v>
      </c>
      <c r="AB13" s="5">
        <f t="shared" si="4"/>
        <v>233198.32717458424</v>
      </c>
      <c r="AC13" s="5">
        <f t="shared" si="4"/>
        <v>237862.2937180759</v>
      </c>
      <c r="AD13" s="5">
        <f t="shared" si="0"/>
        <v>242619.53959243742</v>
      </c>
      <c r="AE13" s="5">
        <f t="shared" si="0"/>
        <v>247471.93038428616</v>
      </c>
      <c r="AF13" s="5"/>
      <c r="AG13" s="7">
        <f t="shared" si="5"/>
        <v>45966.907039295715</v>
      </c>
      <c r="AH13" s="7">
        <f t="shared" si="6"/>
        <v>46905.007182954803</v>
      </c>
      <c r="AI13" s="7">
        <f t="shared" si="1"/>
        <v>47843.107326613899</v>
      </c>
      <c r="AJ13" s="7">
        <f t="shared" si="1"/>
        <v>48799.969473146179</v>
      </c>
      <c r="AK13" s="7">
        <f t="shared" si="1"/>
        <v>49775.968862609101</v>
      </c>
      <c r="AL13" s="7">
        <f t="shared" si="1"/>
        <v>50771.48823986129</v>
      </c>
      <c r="AM13" s="7">
        <f t="shared" si="1"/>
        <v>51786.91800465851</v>
      </c>
    </row>
    <row r="14" spans="1:39" x14ac:dyDescent="0.2">
      <c r="B14" s="5">
        <v>10</v>
      </c>
      <c r="C14" s="5" t="s">
        <v>16</v>
      </c>
      <c r="D14" s="5">
        <v>1125135</v>
      </c>
      <c r="E14" s="5">
        <v>553731</v>
      </c>
      <c r="F14" s="5">
        <v>93332</v>
      </c>
      <c r="G14" s="5">
        <v>49.214627578023972</v>
      </c>
      <c r="H14" s="5">
        <v>8.2951823558950704</v>
      </c>
      <c r="I14" s="5"/>
      <c r="J14" s="9">
        <v>1136346.324</v>
      </c>
      <c r="K14" s="9">
        <v>1154823.5</v>
      </c>
      <c r="L14" s="6">
        <v>1173300.676</v>
      </c>
      <c r="M14" s="10">
        <v>1192073.486816</v>
      </c>
      <c r="N14" s="10">
        <v>1211146.6626050561</v>
      </c>
      <c r="O14" s="10">
        <v>1230525.0092067369</v>
      </c>
      <c r="P14" s="5">
        <v>1250213.4093540448</v>
      </c>
      <c r="R14" s="5">
        <v>1754754</v>
      </c>
      <c r="S14" s="5">
        <v>1782830.064</v>
      </c>
      <c r="T14" s="5">
        <v>1811355.3450240002</v>
      </c>
      <c r="U14" s="5">
        <v>1840337.0305443841</v>
      </c>
      <c r="V14" s="5">
        <v>1869782.4230330943</v>
      </c>
      <c r="W14" s="5">
        <v>1899698.9418016239</v>
      </c>
      <c r="X14" s="5"/>
      <c r="Y14" s="5">
        <f t="shared" si="2"/>
        <v>559248.6113531657</v>
      </c>
      <c r="Z14" s="5">
        <f t="shared" si="3"/>
        <v>568342.0847085017</v>
      </c>
      <c r="AA14" s="5">
        <f t="shared" si="4"/>
        <v>577435.5580638377</v>
      </c>
      <c r="AB14" s="5">
        <f t="shared" si="4"/>
        <v>586674.52699285909</v>
      </c>
      <c r="AC14" s="5">
        <f t="shared" si="4"/>
        <v>596061.31942474481</v>
      </c>
      <c r="AD14" s="5">
        <f t="shared" si="0"/>
        <v>605598.30053554079</v>
      </c>
      <c r="AE14" s="5">
        <f t="shared" si="0"/>
        <v>615287.87334410951</v>
      </c>
      <c r="AF14" s="5"/>
      <c r="AG14" s="7">
        <f t="shared" si="5"/>
        <v>94261.999770310227</v>
      </c>
      <c r="AH14" s="7">
        <f t="shared" si="6"/>
        <v>95794.715213729913</v>
      </c>
      <c r="AI14" s="7">
        <f t="shared" si="1"/>
        <v>97327.430657149584</v>
      </c>
      <c r="AJ14" s="7">
        <f t="shared" si="1"/>
        <v>98884.669547663987</v>
      </c>
      <c r="AK14" s="7">
        <f t="shared" si="1"/>
        <v>100466.82426042661</v>
      </c>
      <c r="AL14" s="7">
        <f t="shared" si="1"/>
        <v>102074.29344859342</v>
      </c>
      <c r="AM14" s="7">
        <f t="shared" si="1"/>
        <v>103707.48214377095</v>
      </c>
    </row>
    <row r="15" spans="1:39" x14ac:dyDescent="0.2">
      <c r="B15" s="5">
        <v>11</v>
      </c>
      <c r="C15" s="5" t="s">
        <v>17</v>
      </c>
      <c r="D15" s="5">
        <v>11465861</v>
      </c>
      <c r="E15" s="5">
        <v>6368923</v>
      </c>
      <c r="F15" s="5">
        <v>913779</v>
      </c>
      <c r="G15" s="5">
        <v>55.546835950653858</v>
      </c>
      <c r="H15" s="5">
        <v>7.9695628614370957</v>
      </c>
      <c r="I15" s="5"/>
      <c r="J15" s="9">
        <v>11032222.368999999</v>
      </c>
      <c r="K15" s="9">
        <v>11188866.5</v>
      </c>
      <c r="L15" s="7">
        <v>11345510.631000001</v>
      </c>
      <c r="M15" s="10">
        <v>11504347.779834</v>
      </c>
      <c r="N15" s="10">
        <v>11665408.648751676</v>
      </c>
      <c r="O15" s="10">
        <v>11828724.3698342</v>
      </c>
      <c r="P15" s="5">
        <v>11994326.511011878</v>
      </c>
      <c r="R15" s="5">
        <v>16187608</v>
      </c>
      <c r="S15" s="5">
        <v>16414234.512</v>
      </c>
      <c r="T15" s="5">
        <v>16644033.795168001</v>
      </c>
      <c r="U15" s="5">
        <v>16877050.268300354</v>
      </c>
      <c r="V15" s="5">
        <v>17113328.97205656</v>
      </c>
      <c r="W15" s="5">
        <v>17352915.577665351</v>
      </c>
      <c r="X15" s="5"/>
      <c r="Y15" s="5">
        <f t="shared" si="2"/>
        <v>6128050.4610197684</v>
      </c>
      <c r="Z15" s="5">
        <f t="shared" si="3"/>
        <v>6215061.3194926651</v>
      </c>
      <c r="AA15" s="5">
        <f t="shared" si="4"/>
        <v>6302072.1779655637</v>
      </c>
      <c r="AB15" s="5">
        <f t="shared" si="4"/>
        <v>6390301.1884570811</v>
      </c>
      <c r="AC15" s="5">
        <f t="shared" si="4"/>
        <v>6479765.4050954804</v>
      </c>
      <c r="AD15" s="5">
        <f t="shared" si="0"/>
        <v>6570482.1207668176</v>
      </c>
      <c r="AE15" s="5">
        <f t="shared" si="0"/>
        <v>6662468.8704575524</v>
      </c>
      <c r="AF15" s="5"/>
      <c r="AG15" s="7">
        <f t="shared" si="5"/>
        <v>879219.89671097964</v>
      </c>
      <c r="AH15" s="7">
        <f t="shared" si="6"/>
        <v>891703.74919977668</v>
      </c>
      <c r="AI15" s="7">
        <f t="shared" si="1"/>
        <v>904187.60168857349</v>
      </c>
      <c r="AJ15" s="7">
        <f t="shared" si="1"/>
        <v>916846.22811221366</v>
      </c>
      <c r="AK15" s="7">
        <f t="shared" si="1"/>
        <v>929682.07530578447</v>
      </c>
      <c r="AL15" s="7">
        <f t="shared" si="1"/>
        <v>942697.62436006544</v>
      </c>
      <c r="AM15" s="7">
        <f t="shared" si="1"/>
        <v>955895.39110110642</v>
      </c>
    </row>
    <row r="16" spans="1:39" x14ac:dyDescent="0.2">
      <c r="B16" s="5">
        <v>12</v>
      </c>
      <c r="C16" s="5" t="s">
        <v>18</v>
      </c>
      <c r="D16" s="5">
        <v>2236791</v>
      </c>
      <c r="E16" s="5">
        <v>1131931</v>
      </c>
      <c r="F16" s="5">
        <v>240587</v>
      </c>
      <c r="G16" s="5">
        <v>50.605130296035703</v>
      </c>
      <c r="H16" s="5">
        <v>10.755899858323822</v>
      </c>
      <c r="I16" s="5"/>
      <c r="J16" s="9">
        <v>2242448.6740000001</v>
      </c>
      <c r="K16" s="9">
        <v>2262814</v>
      </c>
      <c r="L16" s="6">
        <v>2283179.3259999999</v>
      </c>
      <c r="M16" s="10">
        <v>2303727.9399339994</v>
      </c>
      <c r="N16" s="10">
        <v>2324461.491393405</v>
      </c>
      <c r="O16" s="10">
        <v>2345381.6448159455</v>
      </c>
      <c r="P16" s="5">
        <v>2366490.0796192889</v>
      </c>
      <c r="R16" s="5">
        <v>3533251</v>
      </c>
      <c r="S16" s="5">
        <v>3565050.2589999996</v>
      </c>
      <c r="T16" s="5">
        <v>3597135.7113309992</v>
      </c>
      <c r="U16" s="5">
        <v>3629509.9327329779</v>
      </c>
      <c r="V16" s="5">
        <v>3662175.5221275743</v>
      </c>
      <c r="W16" s="5">
        <v>3695135.1018267223</v>
      </c>
      <c r="X16" s="5"/>
      <c r="Y16" s="5">
        <f t="shared" si="2"/>
        <v>1134794.073299425</v>
      </c>
      <c r="Z16" s="5">
        <f t="shared" si="3"/>
        <v>1145099.9730569373</v>
      </c>
      <c r="AA16" s="5">
        <f t="shared" si="4"/>
        <v>1155405.8728144497</v>
      </c>
      <c r="AB16" s="5">
        <f t="shared" si="4"/>
        <v>1165804.5256697794</v>
      </c>
      <c r="AC16" s="5">
        <f t="shared" si="4"/>
        <v>1176296.7664008073</v>
      </c>
      <c r="AD16" s="5">
        <f t="shared" si="0"/>
        <v>1186883.4372984145</v>
      </c>
      <c r="AE16" s="5">
        <f t="shared" si="0"/>
        <v>1197565.3882341003</v>
      </c>
      <c r="AF16" s="5"/>
      <c r="AG16" s="7">
        <f t="shared" si="5"/>
        <v>241195.53374975044</v>
      </c>
      <c r="AH16" s="7">
        <f t="shared" si="6"/>
        <v>243386.00782013164</v>
      </c>
      <c r="AI16" s="7">
        <f t="shared" si="1"/>
        <v>245576.48189051278</v>
      </c>
      <c r="AJ16" s="7">
        <f t="shared" si="1"/>
        <v>247786.67022752736</v>
      </c>
      <c r="AK16" s="7">
        <f t="shared" si="1"/>
        <v>250016.75025957506</v>
      </c>
      <c r="AL16" s="7">
        <f t="shared" si="1"/>
        <v>252266.90101191122</v>
      </c>
      <c r="AM16" s="7">
        <f t="shared" si="1"/>
        <v>254537.3031210184</v>
      </c>
    </row>
    <row r="17" spans="2:39" x14ac:dyDescent="0.2">
      <c r="B17" s="5">
        <v>13</v>
      </c>
      <c r="C17" s="5" t="s">
        <v>19</v>
      </c>
      <c r="D17" s="5">
        <v>3686697</v>
      </c>
      <c r="E17" s="5">
        <v>2149494</v>
      </c>
      <c r="F17" s="5">
        <v>271874</v>
      </c>
      <c r="G17" s="5">
        <v>58.304059161900206</v>
      </c>
      <c r="H17" s="5">
        <v>7.3744601197223423</v>
      </c>
      <c r="I17" s="5"/>
      <c r="J17" s="9">
        <v>3826287.3760000002</v>
      </c>
      <c r="K17" s="9">
        <v>3880616</v>
      </c>
      <c r="L17" s="6">
        <v>3934944.6239999998</v>
      </c>
      <c r="M17" s="10">
        <v>3990033.8487359998</v>
      </c>
      <c r="N17" s="10">
        <v>4045894.3226183038</v>
      </c>
      <c r="O17" s="10">
        <v>4102536.8431349602</v>
      </c>
      <c r="P17" s="5">
        <v>4159972.3589388495</v>
      </c>
      <c r="R17" s="5">
        <v>5853677</v>
      </c>
      <c r="S17" s="5">
        <v>5935628.4780000001</v>
      </c>
      <c r="T17" s="5">
        <v>6018727.2766920002</v>
      </c>
      <c r="U17" s="5">
        <v>6102989.4585656887</v>
      </c>
      <c r="V17" s="5">
        <v>6188431.310985608</v>
      </c>
      <c r="W17" s="5">
        <v>6275069.3493394069</v>
      </c>
      <c r="X17" s="5"/>
      <c r="Y17" s="5">
        <f t="shared" si="2"/>
        <v>2230880.8554073591</v>
      </c>
      <c r="Z17" s="5">
        <f t="shared" si="3"/>
        <v>2262556.6484861653</v>
      </c>
      <c r="AA17" s="5">
        <f t="shared" si="4"/>
        <v>2294232.4415649716</v>
      </c>
      <c r="AB17" s="5">
        <f t="shared" si="4"/>
        <v>2326351.695746881</v>
      </c>
      <c r="AC17" s="5">
        <f t="shared" si="4"/>
        <v>2358920.6194873373</v>
      </c>
      <c r="AD17" s="5">
        <f t="shared" si="0"/>
        <v>2391945.5081601604</v>
      </c>
      <c r="AE17" s="5">
        <f t="shared" si="0"/>
        <v>2425432.7452744027</v>
      </c>
      <c r="AF17" s="5"/>
      <c r="AG17" s="7">
        <f t="shared" si="5"/>
        <v>282168.03660909052</v>
      </c>
      <c r="AH17" s="7">
        <f t="shared" si="6"/>
        <v>286174.47931956436</v>
      </c>
      <c r="AI17" s="7">
        <f t="shared" si="1"/>
        <v>290180.92203003826</v>
      </c>
      <c r="AJ17" s="7">
        <f t="shared" si="1"/>
        <v>294243.4549384588</v>
      </c>
      <c r="AK17" s="7">
        <f t="shared" si="1"/>
        <v>298362.86330759723</v>
      </c>
      <c r="AL17" s="7">
        <f t="shared" si="1"/>
        <v>302539.94339390361</v>
      </c>
      <c r="AM17" s="7">
        <f t="shared" si="1"/>
        <v>306775.50260141824</v>
      </c>
    </row>
    <row r="18" spans="2:39" x14ac:dyDescent="0.2">
      <c r="B18" s="5">
        <v>14</v>
      </c>
      <c r="C18" s="5" t="s">
        <v>20</v>
      </c>
      <c r="D18" s="5">
        <v>1921135</v>
      </c>
      <c r="E18" s="5">
        <v>1061449</v>
      </c>
      <c r="F18" s="5">
        <v>215548</v>
      </c>
      <c r="G18" s="5">
        <v>55.251140601779674</v>
      </c>
      <c r="H18" s="5">
        <v>11.219825780072718</v>
      </c>
      <c r="I18" s="5"/>
      <c r="J18" s="9">
        <v>1898607.2</v>
      </c>
      <c r="K18" s="9">
        <v>1927520</v>
      </c>
      <c r="L18" s="6">
        <v>1956432.7999999998</v>
      </c>
      <c r="M18" s="10">
        <v>1985779.2919999997</v>
      </c>
      <c r="N18" s="10">
        <v>2015565.9813799995</v>
      </c>
      <c r="O18" s="10">
        <v>2045799.4711006994</v>
      </c>
      <c r="P18" s="5">
        <v>2076486.4631672096</v>
      </c>
      <c r="R18" s="5">
        <v>2858359</v>
      </c>
      <c r="S18" s="5">
        <v>2901234.3849999998</v>
      </c>
      <c r="T18" s="5">
        <v>2944752.9007749995</v>
      </c>
      <c r="U18" s="5">
        <v>2988924.1942866244</v>
      </c>
      <c r="V18" s="5">
        <v>3033758.0572009236</v>
      </c>
      <c r="W18" s="5">
        <v>3079264.4280589372</v>
      </c>
      <c r="X18" s="5"/>
      <c r="Y18" s="5">
        <f t="shared" si="2"/>
        <v>1049002.1335475121</v>
      </c>
      <c r="Z18" s="5">
        <f t="shared" si="3"/>
        <v>1064976.7853274236</v>
      </c>
      <c r="AA18" s="5">
        <f t="shared" si="4"/>
        <v>1080951.4371073348</v>
      </c>
      <c r="AB18" s="5">
        <f t="shared" si="4"/>
        <v>1097165.7086639449</v>
      </c>
      <c r="AC18" s="5">
        <f t="shared" si="4"/>
        <v>1113623.1942939039</v>
      </c>
      <c r="AD18" s="5">
        <f t="shared" si="0"/>
        <v>1130327.5422083123</v>
      </c>
      <c r="AE18" s="5">
        <f t="shared" si="0"/>
        <v>1147282.4553414369</v>
      </c>
      <c r="AF18" s="5"/>
      <c r="AG18" s="7">
        <f t="shared" si="5"/>
        <v>213020.42008791678</v>
      </c>
      <c r="AH18" s="7">
        <f t="shared" si="6"/>
        <v>216264.38587605764</v>
      </c>
      <c r="AI18" s="7">
        <f t="shared" si="1"/>
        <v>219508.35166419848</v>
      </c>
      <c r="AJ18" s="7">
        <f t="shared" si="1"/>
        <v>222800.97693916145</v>
      </c>
      <c r="AK18" s="7">
        <f t="shared" si="1"/>
        <v>226142.99159324885</v>
      </c>
      <c r="AL18" s="7">
        <f t="shared" si="1"/>
        <v>229535.13646714759</v>
      </c>
      <c r="AM18" s="7">
        <f t="shared" si="1"/>
        <v>232978.16351415479</v>
      </c>
    </row>
    <row r="19" spans="2:39" x14ac:dyDescent="0.2">
      <c r="B19" s="5">
        <v>15</v>
      </c>
      <c r="C19" s="5" t="s">
        <v>21</v>
      </c>
      <c r="D19" s="5">
        <v>5372207</v>
      </c>
      <c r="E19" s="5">
        <v>2493686</v>
      </c>
      <c r="F19" s="5">
        <v>474793</v>
      </c>
      <c r="G19" s="5">
        <v>46.418278372370985</v>
      </c>
      <c r="H19" s="5">
        <v>8.8379505852994864</v>
      </c>
      <c r="I19" s="5"/>
      <c r="J19" s="9">
        <v>5223284.1025</v>
      </c>
      <c r="K19" s="9">
        <v>5302826.5</v>
      </c>
      <c r="L19" s="6">
        <v>5382368.897499999</v>
      </c>
      <c r="M19" s="10">
        <v>5463104.4309624983</v>
      </c>
      <c r="N19" s="10">
        <v>5545050.9974269355</v>
      </c>
      <c r="O19" s="10">
        <v>5628226.7623883393</v>
      </c>
      <c r="P19" s="5">
        <v>5712650.1638241634</v>
      </c>
      <c r="R19" s="5">
        <v>7844830</v>
      </c>
      <c r="S19" s="5">
        <v>7962502.4499999993</v>
      </c>
      <c r="T19" s="5">
        <v>8081939.9867499983</v>
      </c>
      <c r="U19" s="5">
        <v>8203169.0865512472</v>
      </c>
      <c r="V19" s="5">
        <v>8326216.6228495147</v>
      </c>
      <c r="W19" s="5">
        <v>8451109.8721922562</v>
      </c>
      <c r="X19" s="5"/>
      <c r="Y19" s="5">
        <f t="shared" si="2"/>
        <v>2424558.5548782493</v>
      </c>
      <c r="Z19" s="5">
        <f t="shared" si="3"/>
        <v>2461480.7663738574</v>
      </c>
      <c r="AA19" s="5">
        <f t="shared" si="4"/>
        <v>2498402.9778694646</v>
      </c>
      <c r="AB19" s="5">
        <f t="shared" si="4"/>
        <v>2535879.0225375062</v>
      </c>
      <c r="AC19" s="5">
        <f t="shared" si="4"/>
        <v>2573917.2078755689</v>
      </c>
      <c r="AD19" s="5">
        <f t="shared" si="0"/>
        <v>2612525.9659937019</v>
      </c>
      <c r="AE19" s="5">
        <f t="shared" si="0"/>
        <v>2651713.8554836074</v>
      </c>
      <c r="AF19" s="5"/>
      <c r="AG19" s="7">
        <f t="shared" si="5"/>
        <v>461631.26790875377</v>
      </c>
      <c r="AH19" s="7">
        <f t="shared" si="6"/>
        <v>468661.18569416628</v>
      </c>
      <c r="AI19" s="7">
        <f t="shared" si="1"/>
        <v>475691.10347957863</v>
      </c>
      <c r="AJ19" s="7">
        <f t="shared" si="1"/>
        <v>482826.47003177233</v>
      </c>
      <c r="AK19" s="7">
        <f t="shared" si="1"/>
        <v>490068.86708224885</v>
      </c>
      <c r="AL19" s="7">
        <f t="shared" si="1"/>
        <v>497419.90008848259</v>
      </c>
      <c r="AM19" s="7">
        <f t="shared" si="1"/>
        <v>504881.1985898097</v>
      </c>
    </row>
    <row r="20" spans="2:39" x14ac:dyDescent="0.2">
      <c r="B20" s="5">
        <v>16</v>
      </c>
      <c r="C20" s="5" t="s">
        <v>22</v>
      </c>
      <c r="D20" s="5">
        <v>2949073</v>
      </c>
      <c r="E20" s="5">
        <v>1493062</v>
      </c>
      <c r="F20" s="5">
        <v>404877</v>
      </c>
      <c r="G20" s="5">
        <v>50.628180448568074</v>
      </c>
      <c r="H20" s="5">
        <v>13.728958218396086</v>
      </c>
      <c r="I20" s="5"/>
      <c r="J20" s="9">
        <v>3009064.162</v>
      </c>
      <c r="K20" s="9">
        <v>3045611.5</v>
      </c>
      <c r="L20" s="6">
        <v>3082158.838</v>
      </c>
      <c r="M20" s="10">
        <v>3119144.7440559999</v>
      </c>
      <c r="N20" s="10">
        <v>3156574.480984672</v>
      </c>
      <c r="O20" s="10">
        <v>3194453.374756488</v>
      </c>
      <c r="P20" s="5">
        <v>3232786.815253566</v>
      </c>
      <c r="R20" s="5">
        <v>4584471</v>
      </c>
      <c r="S20" s="5">
        <v>4639484.6519999998</v>
      </c>
      <c r="T20" s="5">
        <v>4695158.4678239999</v>
      </c>
      <c r="U20" s="5">
        <v>4751500.3694378883</v>
      </c>
      <c r="V20" s="5">
        <v>4808518.373871143</v>
      </c>
      <c r="W20" s="5">
        <v>4866220.5943575967</v>
      </c>
      <c r="X20" s="5"/>
      <c r="Y20" s="5">
        <f t="shared" si="2"/>
        <v>1523434.4337505528</v>
      </c>
      <c r="Z20" s="5">
        <f t="shared" si="3"/>
        <v>1541937.6859823409</v>
      </c>
      <c r="AA20" s="5">
        <f t="shared" si="4"/>
        <v>1560440.9382141288</v>
      </c>
      <c r="AB20" s="5">
        <f t="shared" si="4"/>
        <v>1579166.2294726986</v>
      </c>
      <c r="AC20" s="5">
        <f t="shared" si="4"/>
        <v>1598116.2242263707</v>
      </c>
      <c r="AD20" s="5">
        <f t="shared" si="0"/>
        <v>1617293.6189170873</v>
      </c>
      <c r="AE20" s="5">
        <f t="shared" si="0"/>
        <v>1636701.1423440925</v>
      </c>
      <c r="AF20" s="5"/>
      <c r="AG20" s="7">
        <f t="shared" si="5"/>
        <v>413113.16156571032</v>
      </c>
      <c r="AH20" s="7">
        <f t="shared" si="6"/>
        <v>418130.73032966629</v>
      </c>
      <c r="AI20" s="7">
        <f t="shared" si="1"/>
        <v>423148.29909362225</v>
      </c>
      <c r="AJ20" s="7">
        <f t="shared" si="1"/>
        <v>428226.07868274575</v>
      </c>
      <c r="AK20" s="7">
        <f t="shared" si="1"/>
        <v>433364.79162693874</v>
      </c>
      <c r="AL20" s="7">
        <f t="shared" si="1"/>
        <v>438565.16912646196</v>
      </c>
      <c r="AM20" s="7">
        <f t="shared" si="1"/>
        <v>443827.95115597954</v>
      </c>
    </row>
    <row r="21" spans="2:39" x14ac:dyDescent="0.2">
      <c r="B21" s="5">
        <v>17</v>
      </c>
      <c r="C21" s="5" t="s">
        <v>23</v>
      </c>
      <c r="D21" s="5">
        <v>1269050</v>
      </c>
      <c r="E21" s="5">
        <v>648904</v>
      </c>
      <c r="F21" s="5">
        <v>144814</v>
      </c>
      <c r="G21" s="5">
        <v>51.133052283203973</v>
      </c>
      <c r="H21" s="5">
        <v>11.411213112170522</v>
      </c>
      <c r="I21" s="5"/>
      <c r="J21" s="9">
        <v>1306347.084</v>
      </c>
      <c r="K21" s="9">
        <v>1327588.5</v>
      </c>
      <c r="L21" s="6">
        <v>1348829.916</v>
      </c>
      <c r="M21" s="10">
        <v>1370411.194656</v>
      </c>
      <c r="N21" s="10">
        <v>1392337.773770496</v>
      </c>
      <c r="O21" s="10">
        <v>1414615.178150824</v>
      </c>
      <c r="P21" s="5">
        <v>1437249.0210012372</v>
      </c>
      <c r="R21" s="5">
        <v>1903811</v>
      </c>
      <c r="S21" s="5">
        <v>1934271.976</v>
      </c>
      <c r="T21" s="5">
        <v>1965220.3276160001</v>
      </c>
      <c r="U21" s="5">
        <v>1996663.8528578561</v>
      </c>
      <c r="V21" s="5">
        <v>2028610.4745035819</v>
      </c>
      <c r="W21" s="5">
        <v>2061068.2420956392</v>
      </c>
      <c r="X21" s="5"/>
      <c r="Y21" s="5">
        <f t="shared" si="2"/>
        <v>667975.13746183051</v>
      </c>
      <c r="Z21" s="5">
        <f t="shared" si="3"/>
        <v>678836.52181080345</v>
      </c>
      <c r="AA21" s="5">
        <f t="shared" si="4"/>
        <v>689697.90615977615</v>
      </c>
      <c r="AB21" s="5">
        <f t="shared" si="4"/>
        <v>700733.07265833253</v>
      </c>
      <c r="AC21" s="5">
        <f t="shared" si="4"/>
        <v>711944.80182086607</v>
      </c>
      <c r="AD21" s="5">
        <f t="shared" ref="AD21:AD36" si="7">$G21*O21/100</f>
        <v>723335.91864999989</v>
      </c>
      <c r="AE21" s="5">
        <f t="shared" ref="AE21:AE36" si="8">$G21*P21/100</f>
        <v>734909.29334839981</v>
      </c>
      <c r="AF21" s="5"/>
      <c r="AG21" s="7">
        <f t="shared" si="5"/>
        <v>149070.04973986527</v>
      </c>
      <c r="AH21" s="7">
        <f t="shared" si="6"/>
        <v>151493.95298766796</v>
      </c>
      <c r="AI21" s="7">
        <f t="shared" ref="AI21:AI36" si="9">$H21*L21/100</f>
        <v>153917.85623547062</v>
      </c>
      <c r="AJ21" s="7">
        <f t="shared" ref="AJ21:AJ36" si="10">$H21*M21/100</f>
        <v>156380.54193523817</v>
      </c>
      <c r="AK21" s="7">
        <f t="shared" ref="AK21:AK36" si="11">$H21*N21/100</f>
        <v>158882.63060620197</v>
      </c>
      <c r="AL21" s="7">
        <f t="shared" ref="AL21:AL36" si="12">$H21*O21/100</f>
        <v>161424.75269590123</v>
      </c>
      <c r="AM21" s="7">
        <f t="shared" ref="AM21:AM36" si="13">$H21*P21/100</f>
        <v>164007.54873903564</v>
      </c>
    </row>
    <row r="22" spans="2:39" x14ac:dyDescent="0.2">
      <c r="B22" s="5">
        <v>18</v>
      </c>
      <c r="C22" s="5" t="s">
        <v>24</v>
      </c>
      <c r="D22" s="5">
        <v>801487</v>
      </c>
      <c r="E22" s="5">
        <v>393330</v>
      </c>
      <c r="F22" s="5">
        <v>101646</v>
      </c>
      <c r="G22" s="5">
        <v>49.075031784670244</v>
      </c>
      <c r="H22" s="5">
        <v>12.682177003494754</v>
      </c>
      <c r="I22" s="5"/>
      <c r="J22" s="9">
        <v>776678.79149999993</v>
      </c>
      <c r="K22" s="9">
        <v>791721.5</v>
      </c>
      <c r="L22" s="6">
        <v>806764.20849999995</v>
      </c>
      <c r="M22" s="10">
        <v>822092.72846149991</v>
      </c>
      <c r="N22" s="10">
        <v>837712.4903022683</v>
      </c>
      <c r="O22" s="10">
        <v>853629.02761801134</v>
      </c>
      <c r="P22" s="5">
        <v>869847.97914275352</v>
      </c>
      <c r="R22" s="5">
        <v>1181050</v>
      </c>
      <c r="S22" s="5">
        <v>1203489.95</v>
      </c>
      <c r="T22" s="5">
        <v>1226356.2590499998</v>
      </c>
      <c r="U22" s="5">
        <v>1249657.0279719497</v>
      </c>
      <c r="V22" s="5">
        <v>1273400.5115034166</v>
      </c>
      <c r="W22" s="5">
        <v>1297595.1212219815</v>
      </c>
      <c r="X22" s="5"/>
      <c r="Y22" s="5">
        <f t="shared" si="2"/>
        <v>381155.36379341775</v>
      </c>
      <c r="Z22" s="5">
        <f t="shared" si="3"/>
        <v>388537.57777106797</v>
      </c>
      <c r="AA22" s="5">
        <f t="shared" si="4"/>
        <v>395919.7917487183</v>
      </c>
      <c r="AB22" s="5">
        <f t="shared" si="4"/>
        <v>403442.26779194392</v>
      </c>
      <c r="AC22" s="5">
        <f t="shared" si="4"/>
        <v>411107.67087999085</v>
      </c>
      <c r="AD22" s="5">
        <f t="shared" si="7"/>
        <v>418918.71662671061</v>
      </c>
      <c r="AE22" s="5">
        <f t="shared" si="8"/>
        <v>426878.17224261805</v>
      </c>
      <c r="AF22" s="5"/>
      <c r="AG22" s="7">
        <f t="shared" si="5"/>
        <v>98499.779086633964</v>
      </c>
      <c r="AH22" s="7">
        <f t="shared" si="6"/>
        <v>100407.52200472372</v>
      </c>
      <c r="AI22" s="7">
        <f t="shared" si="9"/>
        <v>102315.26492281345</v>
      </c>
      <c r="AJ22" s="7">
        <f t="shared" si="10"/>
        <v>104259.25495634692</v>
      </c>
      <c r="AK22" s="7">
        <f t="shared" si="11"/>
        <v>106240.1808005175</v>
      </c>
      <c r="AL22" s="7">
        <f t="shared" si="12"/>
        <v>108258.74423572732</v>
      </c>
      <c r="AM22" s="7">
        <f t="shared" si="13"/>
        <v>110315.66037620613</v>
      </c>
    </row>
    <row r="23" spans="2:39" x14ac:dyDescent="0.2">
      <c r="B23" s="5">
        <v>19</v>
      </c>
      <c r="C23" s="5" t="s">
        <v>25</v>
      </c>
      <c r="D23" s="5">
        <v>3490323</v>
      </c>
      <c r="E23" s="5">
        <v>1575650</v>
      </c>
      <c r="F23" s="5">
        <v>211573</v>
      </c>
      <c r="G23" s="5">
        <v>45.143386443031204</v>
      </c>
      <c r="H23" s="5">
        <v>6.0617025988712223</v>
      </c>
      <c r="I23" s="5"/>
      <c r="J23" s="9">
        <v>3495344.7484999998</v>
      </c>
      <c r="K23" s="9">
        <v>3570321.5</v>
      </c>
      <c r="L23" s="6">
        <v>3645298.2514999998</v>
      </c>
      <c r="M23" s="10">
        <v>3721849.5147814993</v>
      </c>
      <c r="N23" s="10">
        <v>3800008.3545919103</v>
      </c>
      <c r="O23" s="10">
        <v>3879808.53003834</v>
      </c>
      <c r="P23" s="5">
        <v>3961284.509169145</v>
      </c>
      <c r="R23" s="5">
        <v>5119504</v>
      </c>
      <c r="S23" s="5">
        <v>5227013.5839999998</v>
      </c>
      <c r="T23" s="5">
        <v>5336780.8692639992</v>
      </c>
      <c r="U23" s="5">
        <v>5448853.2675185427</v>
      </c>
      <c r="V23" s="5">
        <v>5563279.186136432</v>
      </c>
      <c r="W23" s="5">
        <v>5680108.0490452964</v>
      </c>
      <c r="X23" s="5"/>
      <c r="Y23" s="5">
        <f t="shared" si="2"/>
        <v>1577916.987331552</v>
      </c>
      <c r="Z23" s="5">
        <f t="shared" si="3"/>
        <v>1611764.0320036283</v>
      </c>
      <c r="AA23" s="5">
        <f t="shared" si="4"/>
        <v>1645611.0766757044</v>
      </c>
      <c r="AB23" s="5">
        <f t="shared" si="4"/>
        <v>1680168.9092858941</v>
      </c>
      <c r="AC23" s="5">
        <f t="shared" si="4"/>
        <v>1715452.4563808974</v>
      </c>
      <c r="AD23" s="5">
        <f t="shared" si="7"/>
        <v>1751476.9579648962</v>
      </c>
      <c r="AE23" s="5">
        <f t="shared" si="8"/>
        <v>1788257.9740821591</v>
      </c>
      <c r="AF23" s="5"/>
      <c r="AG23" s="7">
        <f t="shared" si="5"/>
        <v>211877.40345933329</v>
      </c>
      <c r="AH23" s="7">
        <f t="shared" si="6"/>
        <v>216422.27115355802</v>
      </c>
      <c r="AI23" s="7">
        <f t="shared" si="9"/>
        <v>220967.13884778271</v>
      </c>
      <c r="AJ23" s="7">
        <f t="shared" si="10"/>
        <v>225607.44876358614</v>
      </c>
      <c r="AK23" s="7">
        <f t="shared" si="11"/>
        <v>230345.20518762141</v>
      </c>
      <c r="AL23" s="7">
        <f t="shared" si="12"/>
        <v>235182.45449656143</v>
      </c>
      <c r="AM23" s="7">
        <f t="shared" si="13"/>
        <v>240121.28604098919</v>
      </c>
    </row>
    <row r="24" spans="2:39" x14ac:dyDescent="0.2">
      <c r="B24" s="5">
        <v>20</v>
      </c>
      <c r="C24" s="5" t="s">
        <v>26</v>
      </c>
      <c r="D24" s="5">
        <v>2602561</v>
      </c>
      <c r="E24" s="5">
        <v>1350219</v>
      </c>
      <c r="F24" s="5">
        <v>296260</v>
      </c>
      <c r="G24" s="5">
        <v>51.880397808158961</v>
      </c>
      <c r="H24" s="5">
        <v>11.383402732923456</v>
      </c>
      <c r="I24" s="5"/>
      <c r="J24" s="9">
        <v>2590116.7445</v>
      </c>
      <c r="K24" s="9">
        <v>2613639.5</v>
      </c>
      <c r="L24" s="6">
        <v>2637162.2554999995</v>
      </c>
      <c r="M24" s="10">
        <v>2660896.7157994993</v>
      </c>
      <c r="N24" s="10">
        <v>2684844.7862416944</v>
      </c>
      <c r="O24" s="10">
        <v>2709008.3893178692</v>
      </c>
      <c r="P24" s="5">
        <v>2733389.4648217298</v>
      </c>
      <c r="R24" s="5">
        <v>3967889</v>
      </c>
      <c r="S24" s="5">
        <v>4003600.0009999997</v>
      </c>
      <c r="T24" s="5">
        <v>4039632.4010089994</v>
      </c>
      <c r="U24" s="5">
        <v>4075989.0926180799</v>
      </c>
      <c r="V24" s="5">
        <v>4112672.994451642</v>
      </c>
      <c r="W24" s="5">
        <v>4149687.0514017064</v>
      </c>
      <c r="X24" s="5"/>
      <c r="Y24" s="5">
        <f t="shared" si="2"/>
        <v>1343762.8707423361</v>
      </c>
      <c r="Z24" s="5">
        <f t="shared" si="3"/>
        <v>1355966.5698711767</v>
      </c>
      <c r="AA24" s="5">
        <f t="shared" si="4"/>
        <v>1368170.2690000171</v>
      </c>
      <c r="AB24" s="5">
        <f t="shared" si="4"/>
        <v>1380483.8014210174</v>
      </c>
      <c r="AC24" s="5">
        <f t="shared" si="4"/>
        <v>1392908.155633806</v>
      </c>
      <c r="AD24" s="5">
        <f t="shared" si="7"/>
        <v>1405444.3290345103</v>
      </c>
      <c r="AE24" s="5">
        <f t="shared" si="8"/>
        <v>1418093.3279958207</v>
      </c>
      <c r="AF24" s="5"/>
      <c r="AG24" s="7">
        <f t="shared" si="5"/>
        <v>294843.42027932103</v>
      </c>
      <c r="AH24" s="7">
        <f t="shared" si="6"/>
        <v>297521.11027176696</v>
      </c>
      <c r="AI24" s="7">
        <f t="shared" si="9"/>
        <v>300198.80026421277</v>
      </c>
      <c r="AJ24" s="7">
        <f t="shared" si="10"/>
        <v>302900.58946659067</v>
      </c>
      <c r="AK24" s="7">
        <f t="shared" si="11"/>
        <v>305626.69477178995</v>
      </c>
      <c r="AL24" s="7">
        <f t="shared" si="12"/>
        <v>308377.33502473601</v>
      </c>
      <c r="AM24" s="7">
        <f t="shared" si="13"/>
        <v>311152.7310399586</v>
      </c>
    </row>
    <row r="25" spans="2:39" x14ac:dyDescent="0.2">
      <c r="B25" s="5">
        <v>21</v>
      </c>
      <c r="C25" s="5" t="s">
        <v>27</v>
      </c>
      <c r="D25" s="5">
        <v>3888939</v>
      </c>
      <c r="E25" s="5">
        <v>2140753</v>
      </c>
      <c r="F25" s="5">
        <v>448352</v>
      </c>
      <c r="G25" s="5">
        <v>55.04722496290119</v>
      </c>
      <c r="H25" s="5">
        <v>11.528902870423012</v>
      </c>
      <c r="I25" s="5"/>
      <c r="J25" s="9">
        <v>4002583.6829999997</v>
      </c>
      <c r="K25" s="9">
        <v>4059415.5</v>
      </c>
      <c r="L25" s="6">
        <v>4116247.3170000003</v>
      </c>
      <c r="M25" s="10">
        <v>4173874.7794380002</v>
      </c>
      <c r="N25" s="10">
        <v>4232309.0263501322</v>
      </c>
      <c r="O25" s="10">
        <v>4291561.3527190341</v>
      </c>
      <c r="P25" s="5">
        <v>4351643.2116571004</v>
      </c>
      <c r="R25" s="5">
        <v>6168883</v>
      </c>
      <c r="S25" s="5">
        <v>6255247.3619999997</v>
      </c>
      <c r="T25" s="5">
        <v>6342820.8250679998</v>
      </c>
      <c r="U25" s="5">
        <v>6431620.316618952</v>
      </c>
      <c r="V25" s="5">
        <v>6521663.0010516178</v>
      </c>
      <c r="W25" s="5">
        <v>6612966.2830663407</v>
      </c>
      <c r="X25" s="5"/>
      <c r="Y25" s="5">
        <f t="shared" si="2"/>
        <v>2203311.2443093858</v>
      </c>
      <c r="Z25" s="5">
        <f t="shared" si="3"/>
        <v>2234595.5824638801</v>
      </c>
      <c r="AA25" s="5">
        <f t="shared" si="4"/>
        <v>2265879.9206183748</v>
      </c>
      <c r="AB25" s="5">
        <f t="shared" si="4"/>
        <v>2297602.2395070316</v>
      </c>
      <c r="AC25" s="5">
        <f t="shared" si="4"/>
        <v>2329768.6708601303</v>
      </c>
      <c r="AD25" s="5">
        <f t="shared" si="7"/>
        <v>2362385.4322521724</v>
      </c>
      <c r="AE25" s="5">
        <f t="shared" si="8"/>
        <v>2395458.8283037026</v>
      </c>
      <c r="AF25" s="5"/>
      <c r="AG25" s="7">
        <f t="shared" si="5"/>
        <v>461453.98512047005</v>
      </c>
      <c r="AH25" s="7">
        <f t="shared" si="6"/>
        <v>468006.07010189665</v>
      </c>
      <c r="AI25" s="7">
        <f t="shared" si="9"/>
        <v>474558.15508332325</v>
      </c>
      <c r="AJ25" s="7">
        <f t="shared" si="10"/>
        <v>481201.96925448976</v>
      </c>
      <c r="AK25" s="7">
        <f t="shared" si="11"/>
        <v>487938.79682405264</v>
      </c>
      <c r="AL25" s="7">
        <f t="shared" si="12"/>
        <v>494769.93997958937</v>
      </c>
      <c r="AM25" s="7">
        <f t="shared" si="13"/>
        <v>501696.71913930366</v>
      </c>
    </row>
    <row r="26" spans="2:39" x14ac:dyDescent="0.2">
      <c r="B26" s="5">
        <v>22</v>
      </c>
      <c r="C26" s="5" t="s">
        <v>28</v>
      </c>
      <c r="D26" s="5">
        <v>1334553</v>
      </c>
      <c r="E26" s="5">
        <v>713994</v>
      </c>
      <c r="F26" s="5">
        <v>124635</v>
      </c>
      <c r="G26" s="5">
        <v>53.500610316712788</v>
      </c>
      <c r="H26" s="5">
        <v>9.3390820746721932</v>
      </c>
      <c r="I26" s="5"/>
      <c r="J26" s="9">
        <v>1345781.5119999999</v>
      </c>
      <c r="K26" s="9">
        <v>1378874.5</v>
      </c>
      <c r="L26" s="6">
        <v>1411967.4880000001</v>
      </c>
      <c r="M26" s="10">
        <v>1445854.7077120002</v>
      </c>
      <c r="N26" s="10">
        <v>1480555.2206970882</v>
      </c>
      <c r="O26" s="10">
        <v>1516088.5459938182</v>
      </c>
      <c r="P26" s="5">
        <v>1552474.67109767</v>
      </c>
      <c r="R26" s="5">
        <v>2038372</v>
      </c>
      <c r="S26" s="5">
        <v>2087292.9280000001</v>
      </c>
      <c r="T26" s="5">
        <v>2137387.9582720003</v>
      </c>
      <c r="U26" s="5">
        <v>2188685.2692705286</v>
      </c>
      <c r="V26" s="5">
        <v>2241213.7157330215</v>
      </c>
      <c r="W26" s="5">
        <v>2295002.8449106142</v>
      </c>
      <c r="X26" s="5"/>
      <c r="Y26" s="5">
        <f t="shared" si="2"/>
        <v>720001.32244948519</v>
      </c>
      <c r="Z26" s="5">
        <f t="shared" si="3"/>
        <v>737706.27300152183</v>
      </c>
      <c r="AA26" s="5">
        <f t="shared" si="4"/>
        <v>755411.22355355846</v>
      </c>
      <c r="AB26" s="5">
        <f t="shared" si="4"/>
        <v>773541.09291884396</v>
      </c>
      <c r="AC26" s="5">
        <f t="shared" si="4"/>
        <v>792106.07914889615</v>
      </c>
      <c r="AD26" s="5">
        <f t="shared" si="7"/>
        <v>811116.62504846964</v>
      </c>
      <c r="AE26" s="5">
        <f t="shared" si="8"/>
        <v>830583.42404963297</v>
      </c>
      <c r="AF26" s="5"/>
      <c r="AG26" s="7">
        <f t="shared" si="5"/>
        <v>125683.63995144441</v>
      </c>
      <c r="AH26" s="7">
        <f t="shared" si="6"/>
        <v>128774.22126172583</v>
      </c>
      <c r="AI26" s="7">
        <f t="shared" si="9"/>
        <v>131864.80257200726</v>
      </c>
      <c r="AJ26" s="7">
        <f t="shared" si="10"/>
        <v>135029.55783373545</v>
      </c>
      <c r="AK26" s="7">
        <f t="shared" si="11"/>
        <v>138270.26722174507</v>
      </c>
      <c r="AL26" s="7">
        <f t="shared" si="12"/>
        <v>141588.75363506697</v>
      </c>
      <c r="AM26" s="7">
        <f t="shared" si="13"/>
        <v>144986.88372230859</v>
      </c>
    </row>
    <row r="27" spans="2:39" x14ac:dyDescent="0.2">
      <c r="B27" s="5">
        <v>23</v>
      </c>
      <c r="C27" s="5" t="s">
        <v>29</v>
      </c>
      <c r="D27" s="5">
        <v>1022566</v>
      </c>
      <c r="E27" s="5">
        <v>467400</v>
      </c>
      <c r="F27" s="5">
        <v>83788</v>
      </c>
      <c r="G27" s="5">
        <v>45.708541062386196</v>
      </c>
      <c r="H27" s="5">
        <v>8.1938965308840697</v>
      </c>
      <c r="I27" s="5"/>
      <c r="J27" s="9">
        <v>997418.89449999994</v>
      </c>
      <c r="K27" s="9">
        <v>1025096.5</v>
      </c>
      <c r="L27" s="6">
        <v>1052774.1054999998</v>
      </c>
      <c r="M27" s="10">
        <v>1081199.0063484998</v>
      </c>
      <c r="N27" s="10">
        <v>1110391.3795199092</v>
      </c>
      <c r="O27" s="10">
        <v>1140371.9467669467</v>
      </c>
      <c r="P27" s="5">
        <v>1171161.9893296543</v>
      </c>
      <c r="R27" s="5">
        <v>1501562</v>
      </c>
      <c r="S27" s="5">
        <v>1542104.1739999999</v>
      </c>
      <c r="T27" s="5">
        <v>1583740.9866979998</v>
      </c>
      <c r="U27" s="5">
        <v>1626501.9933388457</v>
      </c>
      <c r="V27" s="5">
        <v>1670417.5471589942</v>
      </c>
      <c r="W27" s="5">
        <v>1715518.820932287</v>
      </c>
      <c r="X27" s="5"/>
      <c r="Y27" s="5">
        <f t="shared" si="2"/>
        <v>455905.62495653093</v>
      </c>
      <c r="Z27" s="5">
        <f t="shared" si="3"/>
        <v>468556.65463158372</v>
      </c>
      <c r="AA27" s="5">
        <f t="shared" si="4"/>
        <v>481207.68430663639</v>
      </c>
      <c r="AB27" s="5">
        <f t="shared" si="4"/>
        <v>494200.29178291559</v>
      </c>
      <c r="AC27" s="5">
        <f t="shared" si="4"/>
        <v>507543.69966105424</v>
      </c>
      <c r="AD27" s="5">
        <f t="shared" si="7"/>
        <v>521247.3795519027</v>
      </c>
      <c r="AE27" s="5">
        <f t="shared" si="8"/>
        <v>535321.05879980407</v>
      </c>
      <c r="AF27" s="5"/>
      <c r="AG27" s="7">
        <f t="shared" si="5"/>
        <v>81727.472194817732</v>
      </c>
      <c r="AH27" s="7">
        <f t="shared" si="6"/>
        <v>83995.346551714014</v>
      </c>
      <c r="AI27" s="7">
        <f t="shared" si="9"/>
        <v>86263.220908610281</v>
      </c>
      <c r="AJ27" s="7">
        <f t="shared" si="10"/>
        <v>88592.327873142756</v>
      </c>
      <c r="AK27" s="7">
        <f t="shared" si="11"/>
        <v>90984.320725717596</v>
      </c>
      <c r="AL27" s="7">
        <f t="shared" si="12"/>
        <v>93440.897385311982</v>
      </c>
      <c r="AM27" s="7">
        <f t="shared" si="13"/>
        <v>95963.801614715398</v>
      </c>
    </row>
    <row r="28" spans="2:39" x14ac:dyDescent="0.2">
      <c r="B28" s="5">
        <v>24</v>
      </c>
      <c r="C28" s="5" t="s">
        <v>30</v>
      </c>
      <c r="D28" s="5">
        <v>2028978</v>
      </c>
      <c r="E28" s="5">
        <v>906236</v>
      </c>
      <c r="F28" s="5">
        <v>203175</v>
      </c>
      <c r="G28" s="5">
        <v>44.664653830647744</v>
      </c>
      <c r="H28" s="5">
        <v>10.013662050549588</v>
      </c>
      <c r="I28" s="5"/>
      <c r="J28" s="9">
        <v>2000015.905</v>
      </c>
      <c r="K28" s="9">
        <v>2030473</v>
      </c>
      <c r="L28" s="6">
        <v>2060930.0949999997</v>
      </c>
      <c r="M28" s="10">
        <v>2091844.0464249996</v>
      </c>
      <c r="N28" s="10">
        <v>2123221.7071213746</v>
      </c>
      <c r="O28" s="10">
        <v>2155070.0327281952</v>
      </c>
      <c r="P28" s="5">
        <v>2187396.083219118</v>
      </c>
      <c r="R28" s="5">
        <v>2966321</v>
      </c>
      <c r="S28" s="5">
        <v>3010815.8149999995</v>
      </c>
      <c r="T28" s="5">
        <v>3055978.0522249993</v>
      </c>
      <c r="U28" s="5">
        <v>3101817.7230083738</v>
      </c>
      <c r="V28" s="5">
        <v>3148344.9888534988</v>
      </c>
      <c r="W28" s="5">
        <v>3195570.1636863011</v>
      </c>
      <c r="X28" s="5"/>
      <c r="Y28" s="5">
        <f t="shared" si="2"/>
        <v>893300.18052614655</v>
      </c>
      <c r="Z28" s="5">
        <f t="shared" si="3"/>
        <v>906903.73657476809</v>
      </c>
      <c r="AA28" s="5">
        <f t="shared" si="4"/>
        <v>920507.29262338951</v>
      </c>
      <c r="AB28" s="5">
        <f t="shared" si="4"/>
        <v>934314.90201274038</v>
      </c>
      <c r="AC28" s="5">
        <f t="shared" si="4"/>
        <v>948329.62554293138</v>
      </c>
      <c r="AD28" s="5">
        <f t="shared" si="7"/>
        <v>962554.56992607552</v>
      </c>
      <c r="AE28" s="5">
        <f t="shared" si="8"/>
        <v>976992.8884749664</v>
      </c>
      <c r="AF28" s="5"/>
      <c r="AG28" s="7">
        <f t="shared" si="5"/>
        <v>200274.83368394087</v>
      </c>
      <c r="AH28" s="7">
        <f t="shared" si="6"/>
        <v>203324.70424765573</v>
      </c>
      <c r="AI28" s="7">
        <f t="shared" si="9"/>
        <v>206374.57481137052</v>
      </c>
      <c r="AJ28" s="7">
        <f t="shared" si="10"/>
        <v>209470.19343354111</v>
      </c>
      <c r="AK28" s="7">
        <f t="shared" si="11"/>
        <v>212612.24633504421</v>
      </c>
      <c r="AL28" s="7">
        <f t="shared" si="12"/>
        <v>215801.43003006987</v>
      </c>
      <c r="AM28" s="7">
        <f t="shared" si="13"/>
        <v>219038.45148052089</v>
      </c>
    </row>
    <row r="29" spans="2:39" x14ac:dyDescent="0.2">
      <c r="B29" s="5">
        <v>25</v>
      </c>
      <c r="C29" s="5" t="s">
        <v>31</v>
      </c>
      <c r="D29" s="5">
        <v>1790748</v>
      </c>
      <c r="E29" s="5">
        <v>943710</v>
      </c>
      <c r="F29" s="5">
        <v>164804</v>
      </c>
      <c r="G29" s="5">
        <v>52.699207258642758</v>
      </c>
      <c r="H29" s="5">
        <v>9.2030816172906516</v>
      </c>
      <c r="I29" s="5"/>
      <c r="J29" s="9">
        <v>1795320.3265</v>
      </c>
      <c r="K29" s="9">
        <v>1815288.5</v>
      </c>
      <c r="L29" s="6">
        <v>1835256.6734999998</v>
      </c>
      <c r="M29" s="10">
        <v>1855444.4969084996</v>
      </c>
      <c r="N29" s="10">
        <v>1875854.3863744929</v>
      </c>
      <c r="O29" s="10">
        <v>1896488.7846246122</v>
      </c>
      <c r="P29" s="5">
        <v>1917350.1612554828</v>
      </c>
      <c r="R29" s="5">
        <v>2717820</v>
      </c>
      <c r="S29" s="5">
        <v>2747716.0199999996</v>
      </c>
      <c r="T29" s="5">
        <v>2777940.8962199991</v>
      </c>
      <c r="U29" s="5">
        <v>2808498.2460784186</v>
      </c>
      <c r="V29" s="5">
        <v>2839391.7267852807</v>
      </c>
      <c r="W29" s="5">
        <v>2870625.0357799185</v>
      </c>
      <c r="X29" s="5"/>
      <c r="Y29" s="5">
        <f t="shared" si="2"/>
        <v>946119.57981877681</v>
      </c>
      <c r="Z29" s="5">
        <f t="shared" si="3"/>
        <v>956642.64895730722</v>
      </c>
      <c r="AA29" s="5">
        <f t="shared" si="4"/>
        <v>967165.71809583751</v>
      </c>
      <c r="AB29" s="5">
        <f t="shared" si="4"/>
        <v>977804.54099489166</v>
      </c>
      <c r="AC29" s="5">
        <f t="shared" si="4"/>
        <v>988560.39094583527</v>
      </c>
      <c r="AD29" s="5">
        <f t="shared" si="7"/>
        <v>999434.55524623941</v>
      </c>
      <c r="AE29" s="5">
        <f t="shared" si="8"/>
        <v>1010428.3353539481</v>
      </c>
      <c r="AF29" s="5"/>
      <c r="AG29" s="7">
        <f t="shared" si="5"/>
        <v>165224.79493960401</v>
      </c>
      <c r="AH29" s="7">
        <f t="shared" si="6"/>
        <v>167062.48224429123</v>
      </c>
      <c r="AI29" s="7">
        <f t="shared" si="9"/>
        <v>168900.16954897839</v>
      </c>
      <c r="AJ29" s="7">
        <f t="shared" si="10"/>
        <v>170758.07141401715</v>
      </c>
      <c r="AK29" s="7">
        <f t="shared" si="11"/>
        <v>172636.41019957131</v>
      </c>
      <c r="AL29" s="7">
        <f t="shared" si="12"/>
        <v>174535.4107117666</v>
      </c>
      <c r="AM29" s="7">
        <f t="shared" si="13"/>
        <v>176455.300229596</v>
      </c>
    </row>
    <row r="30" spans="2:39" x14ac:dyDescent="0.2">
      <c r="B30" s="5">
        <v>26</v>
      </c>
      <c r="C30" s="5" t="s">
        <v>32</v>
      </c>
      <c r="D30" s="5">
        <v>1965689</v>
      </c>
      <c r="E30" s="5">
        <v>1004647</v>
      </c>
      <c r="F30" s="5">
        <v>174076</v>
      </c>
      <c r="G30" s="5">
        <v>51.109153075588253</v>
      </c>
      <c r="H30" s="5">
        <v>8.8557243795941272</v>
      </c>
      <c r="I30" s="5"/>
      <c r="J30" s="9">
        <v>1911112.9920000001</v>
      </c>
      <c r="K30" s="9">
        <v>1942188</v>
      </c>
      <c r="L30" s="6">
        <v>1973263.0079999999</v>
      </c>
      <c r="M30" s="10">
        <v>2004835.2161279998</v>
      </c>
      <c r="N30" s="10">
        <v>2036912.5795860479</v>
      </c>
      <c r="O30" s="10">
        <v>2069503.1808594246</v>
      </c>
      <c r="P30" s="5">
        <v>2102615.2317531756</v>
      </c>
      <c r="R30" s="5">
        <v>2850330</v>
      </c>
      <c r="S30" s="5">
        <v>2895935.2800000003</v>
      </c>
      <c r="T30" s="5">
        <v>2942270.2444800003</v>
      </c>
      <c r="U30" s="5">
        <v>2989346.5683916803</v>
      </c>
      <c r="V30" s="5">
        <v>3037176.1134859473</v>
      </c>
      <c r="W30" s="5">
        <v>3085770.9313017223</v>
      </c>
      <c r="X30" s="5"/>
      <c r="Y30" s="5">
        <f t="shared" si="2"/>
        <v>976753.66452873463</v>
      </c>
      <c r="Z30" s="5">
        <f t="shared" si="3"/>
        <v>992635.8379357059</v>
      </c>
      <c r="AA30" s="5">
        <f t="shared" si="4"/>
        <v>1008518.0113426772</v>
      </c>
      <c r="AB30" s="5">
        <f t="shared" si="4"/>
        <v>1024654.29952416</v>
      </c>
      <c r="AC30" s="5">
        <f t="shared" si="4"/>
        <v>1041048.7683165467</v>
      </c>
      <c r="AD30" s="5">
        <f t="shared" si="7"/>
        <v>1057705.5486096113</v>
      </c>
      <c r="AE30" s="5">
        <f t="shared" si="8"/>
        <v>1074628.8373873653</v>
      </c>
      <c r="AF30" s="5"/>
      <c r="AG30" s="7">
        <f t="shared" si="5"/>
        <v>169242.89915413476</v>
      </c>
      <c r="AH30" s="7">
        <f t="shared" si="6"/>
        <v>171994.81621355156</v>
      </c>
      <c r="AI30" s="7">
        <f t="shared" si="9"/>
        <v>174746.73327296841</v>
      </c>
      <c r="AJ30" s="7">
        <f t="shared" si="10"/>
        <v>177542.68100533591</v>
      </c>
      <c r="AK30" s="7">
        <f t="shared" si="11"/>
        <v>180383.36390142128</v>
      </c>
      <c r="AL30" s="7">
        <f t="shared" si="12"/>
        <v>183269.49772384402</v>
      </c>
      <c r="AM30" s="7">
        <f t="shared" si="13"/>
        <v>186201.80968742553</v>
      </c>
    </row>
    <row r="31" spans="2:39" x14ac:dyDescent="0.2">
      <c r="B31" s="5">
        <v>27</v>
      </c>
      <c r="C31" s="5" t="s">
        <v>33</v>
      </c>
      <c r="D31" s="5">
        <v>1563092</v>
      </c>
      <c r="E31" s="5">
        <v>651810</v>
      </c>
      <c r="F31" s="5">
        <v>83116</v>
      </c>
      <c r="G31" s="5">
        <v>41.700040688583911</v>
      </c>
      <c r="H31" s="5">
        <v>5.3174093399492799</v>
      </c>
      <c r="I31" s="5"/>
      <c r="J31" s="9">
        <v>1584189.29</v>
      </c>
      <c r="K31" s="9">
        <v>1608314</v>
      </c>
      <c r="L31" s="6">
        <v>1632438.7099999997</v>
      </c>
      <c r="M31" s="10">
        <v>1656925.2906499996</v>
      </c>
      <c r="N31" s="10">
        <v>1681779.1700097495</v>
      </c>
      <c r="O31" s="10">
        <v>1707005.8575598956</v>
      </c>
      <c r="P31" s="5">
        <v>1732610.9454232939</v>
      </c>
      <c r="R31" s="5">
        <v>2395272</v>
      </c>
      <c r="S31" s="5">
        <v>2431201.0799999996</v>
      </c>
      <c r="T31" s="5">
        <v>2467669.0961999996</v>
      </c>
      <c r="U31" s="5">
        <v>2504684.1326429993</v>
      </c>
      <c r="V31" s="5">
        <v>2542254.394632644</v>
      </c>
      <c r="W31" s="5">
        <v>2580388.2105521336</v>
      </c>
      <c r="X31" s="5"/>
      <c r="Y31" s="5">
        <f t="shared" si="2"/>
        <v>660607.57851418864</v>
      </c>
      <c r="Z31" s="5">
        <f t="shared" si="3"/>
        <v>670667.59240019147</v>
      </c>
      <c r="AA31" s="5">
        <f t="shared" si="4"/>
        <v>680727.60628619418</v>
      </c>
      <c r="AB31" s="5">
        <f t="shared" si="4"/>
        <v>690938.5203804872</v>
      </c>
      <c r="AC31" s="5">
        <f t="shared" si="4"/>
        <v>701302.59818619431</v>
      </c>
      <c r="AD31" s="5">
        <f t="shared" si="7"/>
        <v>711822.13715898723</v>
      </c>
      <c r="AE31" s="5">
        <f t="shared" si="8"/>
        <v>722499.46921637189</v>
      </c>
      <c r="AF31" s="5"/>
      <c r="AG31" s="7">
        <f t="shared" si="5"/>
        <v>84237.829268936184</v>
      </c>
      <c r="AH31" s="7">
        <f t="shared" si="6"/>
        <v>85520.638851711861</v>
      </c>
      <c r="AI31" s="7">
        <f t="shared" si="9"/>
        <v>86803.448434487524</v>
      </c>
      <c r="AJ31" s="7">
        <f t="shared" si="10"/>
        <v>88105.500161004835</v>
      </c>
      <c r="AK31" s="7">
        <f t="shared" si="11"/>
        <v>89427.082663419904</v>
      </c>
      <c r="AL31" s="7">
        <f t="shared" si="12"/>
        <v>90768.488903371195</v>
      </c>
      <c r="AM31" s="7">
        <f t="shared" si="13"/>
        <v>92130.016236921758</v>
      </c>
    </row>
    <row r="32" spans="2:39" x14ac:dyDescent="0.2">
      <c r="B32" s="5">
        <v>28</v>
      </c>
      <c r="C32" s="5" t="s">
        <v>34</v>
      </c>
      <c r="D32" s="5">
        <v>2394776</v>
      </c>
      <c r="E32" s="5">
        <v>1170097</v>
      </c>
      <c r="F32" s="5">
        <v>158886</v>
      </c>
      <c r="G32" s="5">
        <v>48.860394458604894</v>
      </c>
      <c r="H32" s="5">
        <v>6.6346915118574765</v>
      </c>
      <c r="I32" s="5"/>
      <c r="J32" s="9">
        <v>2327036.8939999999</v>
      </c>
      <c r="K32" s="9">
        <v>2355300.5</v>
      </c>
      <c r="L32" s="6">
        <v>2383564.1060000001</v>
      </c>
      <c r="M32" s="10">
        <v>2412166.8752720002</v>
      </c>
      <c r="N32" s="10">
        <v>2441112.8777752644</v>
      </c>
      <c r="O32" s="10">
        <v>2470406.2323085675</v>
      </c>
      <c r="P32" s="5">
        <v>2500051.1070962702</v>
      </c>
      <c r="R32" s="5">
        <v>3441698</v>
      </c>
      <c r="S32" s="5">
        <v>3482998.3760000002</v>
      </c>
      <c r="T32" s="5">
        <v>3524794.3565120003</v>
      </c>
      <c r="U32" s="5">
        <v>3567091.8887901446</v>
      </c>
      <c r="V32" s="5">
        <v>3609896.9914556262</v>
      </c>
      <c r="W32" s="5">
        <v>3653215.7553530936</v>
      </c>
      <c r="X32" s="5"/>
      <c r="Y32" s="5">
        <f t="shared" si="2"/>
        <v>1136999.4056056673</v>
      </c>
      <c r="Z32" s="5">
        <f t="shared" si="3"/>
        <v>1150809.1149854935</v>
      </c>
      <c r="AA32" s="5">
        <f t="shared" si="4"/>
        <v>1164618.8243653192</v>
      </c>
      <c r="AB32" s="5">
        <f t="shared" si="4"/>
        <v>1178594.2502577032</v>
      </c>
      <c r="AC32" s="5">
        <f t="shared" si="4"/>
        <v>1192737.3812607958</v>
      </c>
      <c r="AD32" s="5">
        <f t="shared" si="7"/>
        <v>1207050.2298359252</v>
      </c>
      <c r="AE32" s="5">
        <f t="shared" si="8"/>
        <v>1221534.8325939563</v>
      </c>
      <c r="AF32" s="5"/>
      <c r="AG32" s="7">
        <f t="shared" si="5"/>
        <v>154391.71928400986</v>
      </c>
      <c r="AH32" s="7">
        <f t="shared" si="6"/>
        <v>156266.9223522367</v>
      </c>
      <c r="AI32" s="7">
        <f t="shared" si="9"/>
        <v>158142.12542046356</v>
      </c>
      <c r="AJ32" s="7">
        <f t="shared" si="10"/>
        <v>160039.83092550913</v>
      </c>
      <c r="AK32" s="7">
        <f t="shared" si="11"/>
        <v>161960.30889661526</v>
      </c>
      <c r="AL32" s="7">
        <f t="shared" si="12"/>
        <v>163903.83260337461</v>
      </c>
      <c r="AM32" s="7">
        <f t="shared" si="13"/>
        <v>165870.67859461511</v>
      </c>
    </row>
    <row r="33" spans="2:39" x14ac:dyDescent="0.2">
      <c r="B33" s="5">
        <v>29</v>
      </c>
      <c r="C33" s="5" t="s">
        <v>35</v>
      </c>
      <c r="D33" s="5">
        <v>815926</v>
      </c>
      <c r="E33" s="5">
        <v>455822</v>
      </c>
      <c r="F33" s="5">
        <v>86001</v>
      </c>
      <c r="G33" s="5">
        <v>55.865605459318616</v>
      </c>
      <c r="H33" s="5">
        <v>10.540294095297858</v>
      </c>
      <c r="I33" s="5"/>
      <c r="J33" s="9">
        <v>834342.55200000003</v>
      </c>
      <c r="K33" s="9">
        <v>849636</v>
      </c>
      <c r="L33" s="6">
        <v>864929.44799999997</v>
      </c>
      <c r="M33" s="10">
        <v>880498.17806399998</v>
      </c>
      <c r="N33" s="10">
        <v>896347.14526915201</v>
      </c>
      <c r="O33" s="10">
        <v>912481.39388399676</v>
      </c>
      <c r="P33" s="5">
        <v>928906.05897390877</v>
      </c>
      <c r="R33" s="5">
        <v>1272847</v>
      </c>
      <c r="S33" s="5">
        <v>1295758.246</v>
      </c>
      <c r="T33" s="5">
        <v>1319081.8944280001</v>
      </c>
      <c r="U33" s="5">
        <v>1342825.3685277042</v>
      </c>
      <c r="V33" s="5">
        <v>1366996.225161203</v>
      </c>
      <c r="W33" s="5">
        <v>1391602.1572141047</v>
      </c>
      <c r="X33" s="5"/>
      <c r="Y33" s="5">
        <f t="shared" si="2"/>
        <v>466110.51827953028</v>
      </c>
      <c r="Z33" s="5">
        <f t="shared" si="3"/>
        <v>474654.29560033634</v>
      </c>
      <c r="AA33" s="5">
        <f t="shared" si="4"/>
        <v>483198.07292114233</v>
      </c>
      <c r="AB33" s="5">
        <f t="shared" si="4"/>
        <v>491895.63823372289</v>
      </c>
      <c r="AC33" s="5">
        <f t="shared" si="4"/>
        <v>500749.75972192996</v>
      </c>
      <c r="AD33" s="5">
        <f t="shared" si="7"/>
        <v>509763.25539692468</v>
      </c>
      <c r="AE33" s="5">
        <f t="shared" si="8"/>
        <v>518938.9939940694</v>
      </c>
      <c r="AF33" s="5"/>
      <c r="AG33" s="7">
        <f t="shared" si="5"/>
        <v>87942.158743013453</v>
      </c>
      <c r="AH33" s="7">
        <f t="shared" si="6"/>
        <v>89554.1331395249</v>
      </c>
      <c r="AI33" s="7">
        <f t="shared" si="9"/>
        <v>91166.107536036347</v>
      </c>
      <c r="AJ33" s="7">
        <f t="shared" si="10"/>
        <v>92807.097471685003</v>
      </c>
      <c r="AK33" s="7">
        <f t="shared" si="11"/>
        <v>94477.62522617534</v>
      </c>
      <c r="AL33" s="7">
        <f t="shared" si="12"/>
        <v>96178.222480246506</v>
      </c>
      <c r="AM33" s="7">
        <f t="shared" si="13"/>
        <v>97909.430484890938</v>
      </c>
    </row>
    <row r="34" spans="2:39" x14ac:dyDescent="0.2">
      <c r="B34" s="5">
        <v>30</v>
      </c>
      <c r="C34" s="5" t="s">
        <v>36</v>
      </c>
      <c r="D34" s="5">
        <v>5474401</v>
      </c>
      <c r="E34" s="5">
        <v>2572747</v>
      </c>
      <c r="F34" s="5">
        <v>587854</v>
      </c>
      <c r="G34" s="5">
        <v>46.995954443234979</v>
      </c>
      <c r="H34" s="5">
        <v>10.738234192197465</v>
      </c>
      <c r="I34" s="5"/>
      <c r="J34" s="9">
        <v>5533130.3894999996</v>
      </c>
      <c r="K34" s="9">
        <v>5606008.5</v>
      </c>
      <c r="L34" s="6">
        <v>5678886.6104999995</v>
      </c>
      <c r="M34" s="10">
        <v>5752712.1364364987</v>
      </c>
      <c r="N34" s="10">
        <v>5827497.3942101728</v>
      </c>
      <c r="O34" s="10">
        <v>5903254.8603349049</v>
      </c>
      <c r="P34" s="5">
        <v>5979997.1735192584</v>
      </c>
      <c r="R34" s="5">
        <v>8112505</v>
      </c>
      <c r="S34" s="5">
        <v>8217967.5649999995</v>
      </c>
      <c r="T34" s="5">
        <v>8324801.1433449984</v>
      </c>
      <c r="U34" s="5">
        <v>8433023.5582084823</v>
      </c>
      <c r="V34" s="5">
        <v>8542652.864465192</v>
      </c>
      <c r="W34" s="5">
        <v>8653707.3517032377</v>
      </c>
      <c r="X34" s="5"/>
      <c r="Y34" s="5">
        <f t="shared" si="2"/>
        <v>2600347.43713421</v>
      </c>
      <c r="Z34" s="5">
        <f t="shared" si="3"/>
        <v>2634597.2007438806</v>
      </c>
      <c r="AA34" s="5">
        <f t="shared" si="4"/>
        <v>2668846.9643535507</v>
      </c>
      <c r="AB34" s="5">
        <f t="shared" si="4"/>
        <v>2703541.9748901469</v>
      </c>
      <c r="AC34" s="5">
        <f t="shared" si="4"/>
        <v>2738688.0205637179</v>
      </c>
      <c r="AD34" s="5">
        <f t="shared" si="7"/>
        <v>2774290.9648310463</v>
      </c>
      <c r="AE34" s="5">
        <f t="shared" si="8"/>
        <v>2810356.7473738506</v>
      </c>
      <c r="AF34" s="5"/>
      <c r="AG34" s="7">
        <f t="shared" si="5"/>
        <v>594160.49938415771</v>
      </c>
      <c r="AH34" s="7">
        <f t="shared" si="6"/>
        <v>601986.32156449626</v>
      </c>
      <c r="AI34" s="7">
        <f t="shared" si="9"/>
        <v>609812.1437448347</v>
      </c>
      <c r="AJ34" s="7">
        <f t="shared" si="10"/>
        <v>617739.70161351736</v>
      </c>
      <c r="AK34" s="7">
        <f t="shared" si="11"/>
        <v>625770.31773449306</v>
      </c>
      <c r="AL34" s="7">
        <f t="shared" si="12"/>
        <v>633905.33186504152</v>
      </c>
      <c r="AM34" s="7">
        <f t="shared" si="13"/>
        <v>642146.10117928695</v>
      </c>
    </row>
    <row r="35" spans="2:39" x14ac:dyDescent="0.2">
      <c r="B35" s="5">
        <v>31</v>
      </c>
      <c r="C35" s="5" t="s">
        <v>37</v>
      </c>
      <c r="D35" s="5">
        <v>1419824</v>
      </c>
      <c r="E35" s="5">
        <v>797872</v>
      </c>
      <c r="F35" s="5">
        <v>185813</v>
      </c>
      <c r="G35" s="5">
        <v>56.195134044783018</v>
      </c>
      <c r="H35" s="5">
        <v>13.08704459144232</v>
      </c>
      <c r="I35" s="5"/>
      <c r="J35" s="9">
        <v>1439973.9624999999</v>
      </c>
      <c r="K35" s="9">
        <v>1461902.5</v>
      </c>
      <c r="L35" s="6">
        <v>1483831.0374999999</v>
      </c>
      <c r="M35" s="10">
        <v>1506088.5030624997</v>
      </c>
      <c r="N35" s="10">
        <v>1528679.8306084371</v>
      </c>
      <c r="O35" s="10">
        <v>1551610.0280675634</v>
      </c>
      <c r="P35" s="5">
        <v>1574884.1784885768</v>
      </c>
      <c r="R35" s="5">
        <v>2097175</v>
      </c>
      <c r="S35" s="5">
        <v>2128632.625</v>
      </c>
      <c r="T35" s="5">
        <v>2160562.1143749999</v>
      </c>
      <c r="U35" s="5">
        <v>2192970.5460906248</v>
      </c>
      <c r="V35" s="5">
        <v>2225865.1042819838</v>
      </c>
      <c r="W35" s="5">
        <v>2259253.0808462133</v>
      </c>
      <c r="X35" s="5"/>
      <c r="Y35" s="5">
        <f t="shared" si="2"/>
        <v>809195.29843684856</v>
      </c>
      <c r="Z35" s="5">
        <f t="shared" si="3"/>
        <v>821518.06947903405</v>
      </c>
      <c r="AA35" s="5">
        <f t="shared" si="4"/>
        <v>833840.84052121954</v>
      </c>
      <c r="AB35" s="5">
        <f t="shared" si="4"/>
        <v>846348.45312903763</v>
      </c>
      <c r="AC35" s="5">
        <f t="shared" si="4"/>
        <v>859043.67992597306</v>
      </c>
      <c r="AD35" s="5">
        <f t="shared" si="7"/>
        <v>871929.33512486261</v>
      </c>
      <c r="AE35" s="5">
        <f t="shared" si="8"/>
        <v>885008.27515173552</v>
      </c>
      <c r="AF35" s="5"/>
      <c r="AG35" s="7">
        <f t="shared" si="5"/>
        <v>188450.03457753389</v>
      </c>
      <c r="AH35" s="7">
        <f t="shared" si="6"/>
        <v>191319.83205841004</v>
      </c>
      <c r="AI35" s="7">
        <f t="shared" si="9"/>
        <v>194189.62953928619</v>
      </c>
      <c r="AJ35" s="7">
        <f t="shared" si="10"/>
        <v>197102.47398237546</v>
      </c>
      <c r="AK35" s="7">
        <f t="shared" si="11"/>
        <v>200059.01109211109</v>
      </c>
      <c r="AL35" s="7">
        <f t="shared" si="12"/>
        <v>203059.89625849272</v>
      </c>
      <c r="AM35" s="7">
        <f t="shared" si="13"/>
        <v>206105.7947023701</v>
      </c>
    </row>
    <row r="36" spans="2:39" x14ac:dyDescent="0.2">
      <c r="B36" s="5">
        <v>32</v>
      </c>
      <c r="C36" s="5" t="s">
        <v>38</v>
      </c>
      <c r="D36" s="5">
        <v>1007575</v>
      </c>
      <c r="E36" s="5">
        <v>502897</v>
      </c>
      <c r="F36" s="5">
        <v>95797</v>
      </c>
      <c r="G36" s="5">
        <v>49.911619482420662</v>
      </c>
      <c r="H36" s="5">
        <v>9.5076793290822028</v>
      </c>
      <c r="I36" s="5"/>
      <c r="J36" s="9">
        <v>1027662.9195</v>
      </c>
      <c r="K36" s="7">
        <v>1041198.5</v>
      </c>
      <c r="L36" s="6">
        <v>1054734.0804999999</v>
      </c>
      <c r="M36" s="10">
        <v>1068445.6235464998</v>
      </c>
      <c r="N36" s="10">
        <v>1082335.4166526042</v>
      </c>
      <c r="O36" s="10">
        <v>1096405.7770690881</v>
      </c>
      <c r="P36" s="5">
        <v>1110659.0521709861</v>
      </c>
      <c r="R36" s="5">
        <v>1579209</v>
      </c>
      <c r="S36" s="5">
        <v>1599738.7169999999</v>
      </c>
      <c r="T36" s="5">
        <v>1620535.3203209997</v>
      </c>
      <c r="U36" s="5">
        <v>1641602.2794851726</v>
      </c>
      <c r="V36" s="5">
        <v>1662943.1091184798</v>
      </c>
      <c r="W36" s="5">
        <v>1684561.3695370199</v>
      </c>
      <c r="X36" s="5"/>
      <c r="Y36" s="5">
        <f>$G36*J36/100</f>
        <v>512923.20594277495</v>
      </c>
      <c r="Z36" s="5">
        <f t="shared" si="3"/>
        <v>519679.03337667166</v>
      </c>
      <c r="AA36" s="5">
        <f t="shared" si="4"/>
        <v>526434.86081056844</v>
      </c>
      <c r="AB36" s="5">
        <f t="shared" si="4"/>
        <v>533278.51400110568</v>
      </c>
      <c r="AC36" s="5">
        <f t="shared" si="4"/>
        <v>540211.13468312006</v>
      </c>
      <c r="AD36" s="5">
        <f t="shared" si="7"/>
        <v>547233.87943400058</v>
      </c>
      <c r="AE36" s="5">
        <f t="shared" si="8"/>
        <v>554347.91986664257</v>
      </c>
      <c r="AF36" s="5"/>
      <c r="AG36" s="7">
        <f t="shared" si="5"/>
        <v>97706.894969944173</v>
      </c>
      <c r="AH36" s="7">
        <f t="shared" si="6"/>
        <v>98993.814559213963</v>
      </c>
      <c r="AI36" s="7">
        <f t="shared" si="9"/>
        <v>100280.73414848374</v>
      </c>
      <c r="AJ36" s="7">
        <f t="shared" si="10"/>
        <v>101584.38369241402</v>
      </c>
      <c r="AK36" s="7">
        <f t="shared" si="11"/>
        <v>102904.98068041539</v>
      </c>
      <c r="AL36" s="7">
        <f t="shared" si="12"/>
        <v>104242.74542926079</v>
      </c>
      <c r="AM36" s="7">
        <f t="shared" si="13"/>
        <v>105597.90111984118</v>
      </c>
    </row>
    <row r="38" spans="2:39" x14ac:dyDescent="0.2">
      <c r="D38" s="7"/>
      <c r="Y38" s="12"/>
      <c r="AE38" s="12"/>
      <c r="AG38" s="13"/>
      <c r="AH38" s="7"/>
      <c r="AM38" s="12"/>
    </row>
    <row r="39" spans="2:39" x14ac:dyDescent="0.2">
      <c r="D39" s="7">
        <f>SUM(D5:D36)</f>
        <v>80703160</v>
      </c>
    </row>
  </sheetData>
  <mergeCells count="5">
    <mergeCell ref="Y3:AE3"/>
    <mergeCell ref="AG3:AM3"/>
    <mergeCell ref="B3:H3"/>
    <mergeCell ref="K3:P3"/>
    <mergeCell ref="R3:W3"/>
  </mergeCells>
  <pageMargins left="0.7" right="0.7" top="0.75" bottom="0.75" header="0.3" footer="0.3"/>
  <ignoredErrors>
    <ignoredError sqref="Z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2020-05-01T19:02:07Z</dcterms:created>
  <dcterms:modified xsi:type="dcterms:W3CDTF">2021-03-09T02:40:31Z</dcterms:modified>
</cp:coreProperties>
</file>